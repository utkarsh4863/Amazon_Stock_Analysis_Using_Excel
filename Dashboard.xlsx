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tkar\Downloads\Amazon Stock Analysis using Excel\"/>
    </mc:Choice>
  </mc:AlternateContent>
  <xr:revisionPtr revIDLastSave="0" documentId="8_{DD3B7DDB-04E1-4703-9B5C-4F31FB7E14B0}" xr6:coauthVersionLast="47" xr6:coauthVersionMax="47" xr10:uidLastSave="{00000000-0000-0000-0000-000000000000}"/>
  <bookViews>
    <workbookView xWindow="-108" yWindow="-108" windowWidth="23256" windowHeight="12456" activeTab="2" xr2:uid="{526C4FA9-3011-4323-AB99-9AEE000E8871}"/>
  </bookViews>
  <sheets>
    <sheet name="Pivot_tables" sheetId="6" r:id="rId1"/>
    <sheet name="AMZN_Data" sheetId="1" r:id="rId2"/>
    <sheet name="Dashboards" sheetId="2" r:id="rId3"/>
  </sheets>
  <definedNames>
    <definedName name="Slicer_Day_name">#N/A</definedName>
    <definedName name="Slicer_Month_name">#N/A</definedName>
    <definedName name="Slicer_Year">#N/A</definedName>
  </definedNames>
  <calcPr calcId="0"/>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alcChain>
</file>

<file path=xl/sharedStrings.xml><?xml version="1.0" encoding="utf-8"?>
<sst xmlns="http://schemas.openxmlformats.org/spreadsheetml/2006/main" count="69" uniqueCount="36">
  <si>
    <t>Date</t>
  </si>
  <si>
    <t>Open</t>
  </si>
  <si>
    <t>High</t>
  </si>
  <si>
    <t>Low</t>
  </si>
  <si>
    <t>Close</t>
  </si>
  <si>
    <t>Adj Close</t>
  </si>
  <si>
    <t>Volume</t>
  </si>
  <si>
    <t>Day_name</t>
  </si>
  <si>
    <t>Month_name</t>
  </si>
  <si>
    <t>Year</t>
  </si>
  <si>
    <t>Row Labels</t>
  </si>
  <si>
    <t>January</t>
  </si>
  <si>
    <t>February</t>
  </si>
  <si>
    <t>March</t>
  </si>
  <si>
    <t>April</t>
  </si>
  <si>
    <t>May</t>
  </si>
  <si>
    <t>June</t>
  </si>
  <si>
    <t>July</t>
  </si>
  <si>
    <t>August</t>
  </si>
  <si>
    <t>September</t>
  </si>
  <si>
    <t>October</t>
  </si>
  <si>
    <t>November</t>
  </si>
  <si>
    <t>December</t>
  </si>
  <si>
    <t>Average of Adj Close</t>
  </si>
  <si>
    <t>Fri</t>
  </si>
  <si>
    <t>2023</t>
  </si>
  <si>
    <t>Thu</t>
  </si>
  <si>
    <t>Wed</t>
  </si>
  <si>
    <t>Tue</t>
  </si>
  <si>
    <t>Mon</t>
  </si>
  <si>
    <t>Average of Volume</t>
  </si>
  <si>
    <t>2024</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</si>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</sst>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6" fillId="0" borderId="0" xfId="0" applyFon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8" formatCode="#,##0.00,,&quot;M&quot;"/>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[Dashboard.xlsx]Pivot_tables!PivotTable6</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Average Adj Close Price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Pivot_tables!$B$4:$B$15</c:f>
              <c:numCache>
                <c:formatCode>0.00</c:formatCode>
                <c:ptCount val="12"/>
                <c:pt idx="0">
                  <c:v>117.59904733333335</c:v>
                </c:pt>
                <c:pt idx="1">
                  <c:v>99.214211421052639</c:v>
                </c:pt>
                <c:pt idx="2">
                  <c:v>96.546955913043462</c:v>
                </c:pt>
                <c:pt idx="3">
                  <c:v>103.34157889473683</c:v>
                </c:pt>
                <c:pt idx="4">
                  <c:v>111.93954650000001</c:v>
                </c:pt>
                <c:pt idx="5">
                  <c:v>126.38047585714284</c:v>
                </c:pt>
                <c:pt idx="6">
                  <c:v>130.81800055000002</c:v>
                </c:pt>
                <c:pt idx="7">
                  <c:v>135.5021753478261</c:v>
                </c:pt>
                <c:pt idx="8">
                  <c:v>135.44000084999999</c:v>
                </c:pt>
                <c:pt idx="9">
                  <c:v>128.27863595454548</c:v>
                </c:pt>
                <c:pt idx="10">
                  <c:v>143.45762052380954</c:v>
                </c:pt>
                <c:pt idx="11">
                  <c:v>149.82399964999996</c:v>
                </c:pt>
              </c:numCache>
            </c:numRef>
          </c:val>
          <c:extLst>
            <c:ext xmlns:c16="http://schemas.microsoft.com/office/drawing/2014/chart" uri="{C3380CC4-5D6E-409C-BE32-E72D297353CC}">
              <c16:uniqueId val="{00000000-C936-443F-83A1-1B8AC22FEC04}"/>
            </c:ext>
          </c:extLst>
        </c:ser>
        <c:dLbls>
          <c:dLblPos val="outEnd"/>
          <c:showLegendKey val="0"/>
          <c:showVal val="0"/>
          <c:showCatName val="0"/>
          <c:showSerName val="0"/>
          <c:showPercent val="0"/>
          <c:showBubbleSize val="0"/>
        </c:dLbls>
        <c:gapWidth val="50"/>
        <c:overlap val="-27"/>
        <c:axId val="41025792"/>
        <c:axId val="41032992"/>
      </c:barChart>
      <c:catAx>
        <c:axId val="4102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2992"/>
        <c:crosses val="autoZero"/>
        <c:auto val="1"/>
        <c:lblAlgn val="ctr"/>
        <c:lblOffset val="100"/>
        <c:noMultiLvlLbl val="0"/>
      </c:catAx>
      <c:valAx>
        <c:axId val="41032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Volume</a:t>
            </a:r>
            <a:r>
              <a:rPr lang="en-US" b="1" baseline="0">
                <a:solidFill>
                  <a:schemeClr val="tx1"/>
                </a:solidFill>
              </a:rPr>
              <a:t>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57-4500-82A7-40BC25C27B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57-4500-82A7-40BC25C27B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57-4500-82A7-40BC25C27B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57-4500-82A7-40BC25C27B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57-4500-82A7-40BC25C27B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Pivot_tables!$E$4:$E$8</c:f>
              <c:strCache>
                <c:ptCount val="5"/>
                <c:pt idx="0">
                  <c:v>Mon</c:v>
                </c:pt>
                <c:pt idx="1">
                  <c:v>Tue</c:v>
                </c:pt>
                <c:pt idx="2">
                  <c:v>Wed</c:v>
                </c:pt>
                <c:pt idx="3">
                  <c:v>Thu</c:v>
                </c:pt>
                <c:pt idx="4">
                  <c:v>Fri</c:v>
                </c:pt>
              </c:strCache>
            </c:strRef>
          </c:cat>
          <c:val>
            <c:numRef>
              <c:f>Pivot_tables!$F$4:$F$8</c:f>
              <c:numCache>
                <c:formatCode>0.00</c:formatCode>
                <c:ptCount val="5"/>
                <c:pt idx="0">
                  <c:v>52421855.555555552</c:v>
                </c:pt>
                <c:pt idx="1">
                  <c:v>53161586.274509802</c:v>
                </c:pt>
                <c:pt idx="2">
                  <c:v>55894526.92307692</c:v>
                </c:pt>
                <c:pt idx="3">
                  <c:v>62204938.461538464</c:v>
                </c:pt>
                <c:pt idx="4">
                  <c:v>65596215.686274506</c:v>
                </c:pt>
              </c:numCache>
            </c:numRef>
          </c:val>
          <c:extLst>
            <c:ext xmlns:c16="http://schemas.microsoft.com/office/drawing/2014/chart" uri="{C3380CC4-5D6E-409C-BE32-E72D297353CC}">
              <c16:uniqueId val="{0000000A-8857-4500-82A7-40BC25C27B5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Yearly</a:t>
            </a:r>
            <a:r>
              <a:rPr lang="en-US" b="1" baseline="0">
                <a:solidFill>
                  <a:schemeClr val="tx1"/>
                </a:solidFill>
              </a:rPr>
              <a:t> Adj Close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Pivot_tables!$I$4:$I$5</c:f>
              <c:strCache>
                <c:ptCount val="2"/>
                <c:pt idx="0">
                  <c:v>2023</c:v>
                </c:pt>
                <c:pt idx="1">
                  <c:v>2024</c:v>
                </c:pt>
              </c:strCache>
            </c:strRef>
          </c:cat>
          <c:val>
            <c:numRef>
              <c:f>Pivot_tables!$J$4:$J$5</c:f>
              <c:numCache>
                <c:formatCode>0.00</c:formatCode>
                <c:ptCount val="2"/>
                <c:pt idx="0">
                  <c:v>122.34864235390941</c:v>
                </c:pt>
                <c:pt idx="1">
                  <c:v>149.69874949999999</c:v>
                </c:pt>
              </c:numCache>
            </c:numRef>
          </c:val>
          <c:extLst>
            <c:ext xmlns:c16="http://schemas.microsoft.com/office/drawing/2014/chart" uri="{C3380CC4-5D6E-409C-BE32-E72D297353CC}">
              <c16:uniqueId val="{00000000-ACB0-478D-8519-542673FCB3E2}"/>
            </c:ext>
          </c:extLst>
        </c:ser>
        <c:dLbls>
          <c:dLblPos val="outEnd"/>
          <c:showLegendKey val="0"/>
          <c:showVal val="1"/>
          <c:showCatName val="0"/>
          <c:showSerName val="0"/>
          <c:showPercent val="0"/>
          <c:showBubbleSize val="0"/>
        </c:dLbls>
        <c:gapWidth val="219"/>
        <c:overlap val="-27"/>
        <c:axId val="41059392"/>
        <c:axId val="41065632"/>
      </c:barChart>
      <c:catAx>
        <c:axId val="4105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65632"/>
        <c:crosses val="autoZero"/>
        <c:auto val="1"/>
        <c:lblAlgn val="ctr"/>
        <c:lblOffset val="100"/>
        <c:noMultiLvlLbl val="0"/>
      </c:catAx>
      <c:valAx>
        <c:axId val="410656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[Dashboard.xlsx]Pivot_tables!PivotTable9</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Tradin</a:t>
            </a:r>
            <a:r>
              <a:rPr lang="en-US" b="1" baseline="0">
                <a:solidFill>
                  <a:schemeClr val="tx1"/>
                </a:solidFill>
              </a:rPr>
              <a:t>g Volume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Pivot_tables!$M$3</c:f>
              <c:strCache>
                <c:ptCount val="1"/>
                <c:pt idx="0">
                  <c:v>Total</c:v>
                </c:pt>
              </c:strCache>
            </c:strRef>
          </c:tx>
          <c:spPr>
            <a:solidFill>
              <a:schemeClr val="accent1"/>
            </a:solidFill>
            <a:ln>
              <a:noFill/>
            </a:ln>
            <a:effectLst/>
          </c:spPr>
          <c:invertIfNegative val="0"/>
          <c:cat>
            <c:strRef>
              <c:f>Pivot_tables!$L$4:$L$15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Pivot_tables!$M$4:$M$15</c:f>
              <c:numCache>
                <c:formatCode>#,##0.00,,"M"</c:formatCode>
                <c:ptCount val="12"/>
                <c:pt idx="0">
                  <c:v>65366866.666666664</c:v>
                </c:pt>
                <c:pt idx="1">
                  <c:v>71794842.105263159</c:v>
                </c:pt>
                <c:pt idx="2">
                  <c:v>58662621.739130437</c:v>
                </c:pt>
                <c:pt idx="3">
                  <c:v>64425452.631578945</c:v>
                </c:pt>
                <c:pt idx="4">
                  <c:v>65131436.363636367</c:v>
                </c:pt>
                <c:pt idx="5">
                  <c:v>59173752.380952381</c:v>
                </c:pt>
                <c:pt idx="6">
                  <c:v>52937740</c:v>
                </c:pt>
                <c:pt idx="7">
                  <c:v>52627226.086956523</c:v>
                </c:pt>
                <c:pt idx="8">
                  <c:v>56013595</c:v>
                </c:pt>
                <c:pt idx="9">
                  <c:v>55662031.81818182</c:v>
                </c:pt>
                <c:pt idx="10">
                  <c:v>48856519.047619045</c:v>
                </c:pt>
                <c:pt idx="11">
                  <c:v>46556430</c:v>
                </c:pt>
              </c:numCache>
            </c:numRef>
          </c:val>
          <c:extLst>
            <c:ext xmlns:c16="http://schemas.microsoft.com/office/drawing/2014/chart" uri="{C3380CC4-5D6E-409C-BE32-E72D297353CC}">
              <c16:uniqueId val="{00000000-09A3-4CC3-9CEE-07C259902C1C}"/>
            </c:ext>
          </c:extLst>
        </c:ser>
        <c:dLbls>
          <c:dLblPos val="outEnd"/>
          <c:showLegendKey val="0"/>
          <c:showVal val="0"/>
          <c:showCatName val="0"/>
          <c:showSerName val="0"/>
          <c:showPercent val="0"/>
          <c:showBubbleSize val="0"/>
        </c:dLbls>
        <c:gapWidth val="50"/>
        <c:axId val="41075712"/>
        <c:axId val="41079552"/>
      </c:barChart>
      <c:catAx>
        <c:axId val="4107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9552"/>
        <c:crosses val="autoZero"/>
        <c:auto val="1"/>
        <c:lblAlgn val="ctr"/>
        <c:lblOffset val="100"/>
        <c:noMultiLvlLbl val="0"/>
      </c:catAx>
      <c:valAx>
        <c:axId val="41079552"/>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Open</a:t>
            </a:r>
            <a:r>
              <a:rPr lang="en-IN" b="1" baseline="0">
                <a:solidFill>
                  <a:schemeClr val="tx1"/>
                </a:solidFill>
              </a:rPr>
              <a:t> Vs Close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Pivot_tables!$R$3</c:f>
              <c:strCache>
                <c:ptCount val="1"/>
                <c:pt idx="0">
                  <c:v>Average of Open</c:v>
                </c:pt>
              </c:strCache>
            </c:strRef>
          </c:tx>
          <c:spPr>
            <a:solidFill>
              <a:schemeClr val="accent1"/>
            </a:solidFill>
            <a:ln>
              <a:noFill/>
            </a:ln>
            <a:effectLst/>
          </c:spPr>
          <c:invertIfNegative val="0"/>
          <c:cat>
            <c:strRef>
              <c:f>Pivot_tables!$Q$4:$Q$8</c:f>
              <c:strCache>
                <c:ptCount val="5"/>
                <c:pt idx="0">
                  <c:v>Mon</c:v>
                </c:pt>
                <c:pt idx="1">
                  <c:v>Tue</c:v>
                </c:pt>
                <c:pt idx="2">
                  <c:v>Wed</c:v>
                </c:pt>
                <c:pt idx="3">
                  <c:v>Thu</c:v>
                </c:pt>
                <c:pt idx="4">
                  <c:v>Fri</c:v>
                </c:pt>
              </c:strCache>
            </c:strRef>
          </c:cat>
          <c:val>
            <c:numRef>
              <c:f>Pivot_tables!$R$4:$R$8</c:f>
              <c:numCache>
                <c:formatCode>0.00</c:formatCode>
                <c:ptCount val="5"/>
                <c:pt idx="0">
                  <c:v>122.63688953333335</c:v>
                </c:pt>
                <c:pt idx="1">
                  <c:v>123.23980431372551</c:v>
                </c:pt>
                <c:pt idx="2">
                  <c:v>123.4901922307692</c:v>
                </c:pt>
                <c:pt idx="3">
                  <c:v>122.6619230192308</c:v>
                </c:pt>
                <c:pt idx="4">
                  <c:v>123.23803970588234</c:v>
                </c:pt>
              </c:numCache>
            </c:numRef>
          </c:val>
          <c:extLst>
            <c:ext xmlns:c16="http://schemas.microsoft.com/office/drawing/2014/chart" uri="{C3380CC4-5D6E-409C-BE32-E72D297353CC}">
              <c16:uniqueId val="{00000000-D558-4FF3-ACAE-8EFD675749BC}"/>
            </c:ext>
          </c:extLst>
        </c:ser>
        <c:ser>
          <c:idx val="1"/>
          <c:order val="1"/>
          <c:tx>
            <c:strRef>
              <c:f>Pivot_tables!$S$3</c:f>
              <c:strCache>
                <c:ptCount val="1"/>
                <c:pt idx="0">
                  <c:v>Average of Close</c:v>
                </c:pt>
              </c:strCache>
            </c:strRef>
          </c:tx>
          <c:spPr>
            <a:solidFill>
              <a:schemeClr val="accent2"/>
            </a:solidFill>
            <a:ln>
              <a:noFill/>
            </a:ln>
            <a:effectLst/>
          </c:spPr>
          <c:invertIfNegative val="0"/>
          <c:cat>
            <c:strRef>
              <c:f>Pivot_tables!$Q$4:$Q$8</c:f>
              <c:strCache>
                <c:ptCount val="5"/>
                <c:pt idx="0">
                  <c:v>Mon</c:v>
                </c:pt>
                <c:pt idx="1">
                  <c:v>Tue</c:v>
                </c:pt>
                <c:pt idx="2">
                  <c:v>Wed</c:v>
                </c:pt>
                <c:pt idx="3">
                  <c:v>Thu</c:v>
                </c:pt>
                <c:pt idx="4">
                  <c:v>Fri</c:v>
                </c:pt>
              </c:strCache>
            </c:strRef>
          </c:cat>
          <c:val>
            <c:numRef>
              <c:f>Pivot_tables!$S$4:$S$8</c:f>
              <c:numCache>
                <c:formatCode>0.00</c:formatCode>
                <c:ptCount val="5"/>
                <c:pt idx="0">
                  <c:v>123.11733397777775</c:v>
                </c:pt>
                <c:pt idx="1">
                  <c:v>123.34509807843136</c:v>
                </c:pt>
                <c:pt idx="2">
                  <c:v>123.3653855961538</c:v>
                </c:pt>
                <c:pt idx="3">
                  <c:v>122.75365413461535</c:v>
                </c:pt>
                <c:pt idx="4">
                  <c:v>123.51450962745098</c:v>
                </c:pt>
              </c:numCache>
            </c:numRef>
          </c:val>
          <c:extLst>
            <c:ext xmlns:c16="http://schemas.microsoft.com/office/drawing/2014/chart" uri="{C3380CC4-5D6E-409C-BE32-E72D297353CC}">
              <c16:uniqueId val="{00000001-D558-4FF3-ACAE-8EFD675749BC}"/>
            </c:ext>
          </c:extLst>
        </c:ser>
        <c:dLbls>
          <c:showLegendKey val="0"/>
          <c:showVal val="0"/>
          <c:showCatName val="0"/>
          <c:showSerName val="0"/>
          <c:showPercent val="0"/>
          <c:showBubbleSize val="0"/>
        </c:dLbls>
        <c:gapWidth val="219"/>
        <c:overlap val="-27"/>
        <c:axId val="41077152"/>
        <c:axId val="41077632"/>
      </c:barChart>
      <c:catAx>
        <c:axId val="410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7632"/>
        <c:crosses val="autoZero"/>
        <c:auto val="1"/>
        <c:lblAlgn val="ctr"/>
        <c:lblOffset val="100"/>
        <c:noMultiLvlLbl val="0"/>
      </c:catAx>
      <c:valAx>
        <c:axId val="41077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7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[Dashboard.xlsx]Pivot_tables!PivotTable12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High</a:t>
            </a:r>
            <a:r>
              <a:rPr lang="en-IN" b="1" baseline="0">
                <a:solidFill>
                  <a:schemeClr val="tx1"/>
                </a:solidFill>
              </a:rPr>
              <a:t> Vs Low</a:t>
            </a:r>
            <a:endParaRPr lang="en-IN" b="1">
              <a:solidFill>
                <a:schemeClr val="tx1"/>
              </a:solidFill>
            </a:endParaRPr>
          </a:p>
        </c:rich>
      </c:tx>
      <c:layout>
        <c:manualLayout>
          <c:xMode val="edge"/>
          <c:yMode val="edge"/>
          <c:x val="0.35365616797900262"/>
          <c:y val="3.15457413249211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Pivot_tables!$V$3</c:f>
              <c:strCache>
                <c:ptCount val="1"/>
                <c:pt idx="0">
                  <c:v>Average of High</c:v>
                </c:pt>
              </c:strCache>
            </c:strRef>
          </c:tx>
          <c:spPr>
            <a:solidFill>
              <a:schemeClr val="accent1"/>
            </a:solidFill>
            <a:ln>
              <a:noFill/>
            </a:ln>
            <a:effectLst/>
          </c:spPr>
          <c:invertIfNegative val="0"/>
          <c:cat>
            <c:strRef>
              <c:f>Pivot_tables!$U$4:$U$8</c:f>
              <c:strCache>
                <c:ptCount val="5"/>
                <c:pt idx="0">
                  <c:v>Mon</c:v>
                </c:pt>
                <c:pt idx="1">
                  <c:v>Tue</c:v>
                </c:pt>
                <c:pt idx="2">
                  <c:v>Wed</c:v>
                </c:pt>
                <c:pt idx="3">
                  <c:v>Thu</c:v>
                </c:pt>
                <c:pt idx="4">
                  <c:v>Fri</c:v>
                </c:pt>
              </c:strCache>
            </c:strRef>
          </c:cat>
          <c:val>
            <c:numRef>
              <c:f>Pivot_tables!$V$4:$V$8</c:f>
              <c:numCache>
                <c:formatCode>0.00</c:formatCode>
                <c:ptCount val="5"/>
                <c:pt idx="0">
                  <c:v>124.2173329111111</c:v>
                </c:pt>
                <c:pt idx="1">
                  <c:v>124.55960809803921</c:v>
                </c:pt>
                <c:pt idx="2">
                  <c:v>125.04480740384616</c:v>
                </c:pt>
                <c:pt idx="3">
                  <c:v>124.29596090384612</c:v>
                </c:pt>
                <c:pt idx="4">
                  <c:v>124.97137268627451</c:v>
                </c:pt>
              </c:numCache>
            </c:numRef>
          </c:val>
          <c:extLst>
            <c:ext xmlns:c16="http://schemas.microsoft.com/office/drawing/2014/chart" uri="{C3380CC4-5D6E-409C-BE32-E72D297353CC}">
              <c16:uniqueId val="{00000000-54E4-4C09-8C99-68F289EDCA24}"/>
            </c:ext>
          </c:extLst>
        </c:ser>
        <c:ser>
          <c:idx val="1"/>
          <c:order val="1"/>
          <c:tx>
            <c:strRef>
              <c:f>Pivot_tables!$W$3</c:f>
              <c:strCache>
                <c:ptCount val="1"/>
                <c:pt idx="0">
                  <c:v>Average of Low</c:v>
                </c:pt>
              </c:strCache>
            </c:strRef>
          </c:tx>
          <c:spPr>
            <a:solidFill>
              <a:schemeClr val="accent2"/>
            </a:solidFill>
            <a:ln>
              <a:noFill/>
            </a:ln>
            <a:effectLst/>
          </c:spPr>
          <c:invertIfNegative val="0"/>
          <c:cat>
            <c:strRef>
              <c:f>Pivot_tables!$U$4:$U$8</c:f>
              <c:strCache>
                <c:ptCount val="5"/>
                <c:pt idx="0">
                  <c:v>Mon</c:v>
                </c:pt>
                <c:pt idx="1">
                  <c:v>Tue</c:v>
                </c:pt>
                <c:pt idx="2">
                  <c:v>Wed</c:v>
                </c:pt>
                <c:pt idx="3">
                  <c:v>Thu</c:v>
                </c:pt>
                <c:pt idx="4">
                  <c:v>Fri</c:v>
                </c:pt>
              </c:strCache>
            </c:strRef>
          </c:cat>
          <c:val>
            <c:numRef>
              <c:f>Pivot_tables!$W$4:$W$8</c:f>
              <c:numCache>
                <c:formatCode>0.00</c:formatCode>
                <c:ptCount val="5"/>
                <c:pt idx="0">
                  <c:v>121.26511166666668</c:v>
                </c:pt>
                <c:pt idx="1">
                  <c:v>121.85352974509804</c:v>
                </c:pt>
                <c:pt idx="2">
                  <c:v>121.93346140384614</c:v>
                </c:pt>
                <c:pt idx="3">
                  <c:v>121.05250034615379</c:v>
                </c:pt>
                <c:pt idx="4">
                  <c:v>121.95254929411767</c:v>
                </c:pt>
              </c:numCache>
            </c:numRef>
          </c:val>
          <c:extLst>
            <c:ext xmlns:c16="http://schemas.microsoft.com/office/drawing/2014/chart" uri="{C3380CC4-5D6E-409C-BE32-E72D297353CC}">
              <c16:uniqueId val="{00000001-54E4-4C09-8C99-68F289EDCA24}"/>
            </c:ext>
          </c:extLst>
        </c:ser>
        <c:dLbls>
          <c:showLegendKey val="0"/>
          <c:showVal val="0"/>
          <c:showCatName val="0"/>
          <c:showSerName val="0"/>
          <c:showPercent val="0"/>
          <c:showBubbleSize val="0"/>
        </c:dLbls>
        <c:gapWidth val="219"/>
        <c:overlap val="-27"/>
        <c:axId val="41013792"/>
        <c:axId val="40998432"/>
      </c:barChart>
      <c:catAx>
        <c:axId val="4101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8432"/>
        <c:crosses val="autoZero"/>
        <c:auto val="1"/>
        <c:lblAlgn val="ctr"/>
        <c:lblOffset val="100"/>
        <c:noMultiLvlLbl val="0"/>
      </c:catAx>
      <c:valAx>
        <c:axId val="409984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1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495300</xdr:colOff>
      <xdr:row>18</xdr:row>
      <xdr:rowOff>152400</xdr:rowOff>
    </xdr:from>
    <xdr:to>
      <xdr:col>9</xdr:col>
      <xdr:colOff>655320</xdr:colOff>
      <xdr:row>29</xdr:row>
      <xdr:rowOff>68580</xdr:rowOff>
    </xdr:to>
    <xdr:graphicFrame macro="">
      <xdr:nvGraphicFramePr>
        <xdr:cNvPr id="2" name="Chart 1">
          <a:extLst>
            <a:ext uri="{FF2B5EF4-FFF2-40B4-BE49-F238E27FC236}">
              <a16:creationId xmlns:a16="http://schemas.microsoft.com/office/drawing/2014/main" id="{D6546B3E-CCC2-4DF8-AF67-20361C8AF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7</xdr:row>
      <xdr:rowOff>106680</xdr:rowOff>
    </xdr:from>
    <xdr:to>
      <xdr:col>4</xdr:col>
      <xdr:colOff>365760</xdr:colOff>
      <xdr:row>17</xdr:row>
      <xdr:rowOff>160020</xdr:rowOff>
    </xdr:to>
    <xdr:graphicFrame macro="">
      <xdr:nvGraphicFramePr>
        <xdr:cNvPr id="3" name="Chart 2">
          <a:extLst>
            <a:ext uri="{FF2B5EF4-FFF2-40B4-BE49-F238E27FC236}">
              <a16:creationId xmlns:a16="http://schemas.microsoft.com/office/drawing/2014/main" id="{42520FBB-CEAB-461B-A831-FC71103E3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457200</xdr:colOff>
      <xdr:row>7</xdr:row>
      <xdr:rowOff>76200</xdr:rowOff>
    </xdr:from>
    <xdr:to>
      <xdr:col>13</xdr:col>
      <xdr:colOff>457200</xdr:colOff>
      <xdr:row>17</xdr:row>
      <xdr:rowOff>160020</xdr:rowOff>
    </xdr:to>
    <xdr:graphicFrame macro="">
      <xdr:nvGraphicFramePr>
        <xdr:cNvPr id="4" name="Chart 3">
          <a:extLst>
            <a:ext uri="{FF2B5EF4-FFF2-40B4-BE49-F238E27FC236}">
              <a16:creationId xmlns:a16="http://schemas.microsoft.com/office/drawing/2014/main" id="{27697A39-C556-41BA-9A6E-55B97278E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18</xdr:row>
      <xdr:rowOff>121920</xdr:rowOff>
    </xdr:from>
    <xdr:to>
      <xdr:col>17</xdr:col>
      <xdr:colOff>472440</xdr:colOff>
      <xdr:row>29</xdr:row>
      <xdr:rowOff>68580</xdr:rowOff>
    </xdr:to>
    <xdr:graphicFrame macro="">
      <xdr:nvGraphicFramePr>
        <xdr:cNvPr id="5" name="Chart 4">
          <a:extLst>
            <a:ext uri="{FF2B5EF4-FFF2-40B4-BE49-F238E27FC236}">
              <a16:creationId xmlns:a16="http://schemas.microsoft.com/office/drawing/2014/main" id="{BC27F516-1AA5-414A-AD99-EF6F55419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502920</xdr:colOff>
      <xdr:row>7</xdr:row>
      <xdr:rowOff>99060</xdr:rowOff>
    </xdr:from>
    <xdr:to>
      <xdr:col>9</xdr:col>
      <xdr:colOff>297180</xdr:colOff>
      <xdr:row>17</xdr:row>
      <xdr:rowOff>175260</xdr:rowOff>
    </xdr:to>
    <xdr:graphicFrame macro="">
      <xdr:nvGraphicFramePr>
        <xdr:cNvPr id="7" name="Chart 6">
          <a:extLst>
            <a:ext uri="{FF2B5EF4-FFF2-40B4-BE49-F238E27FC236}">
              <a16:creationId xmlns:a16="http://schemas.microsoft.com/office/drawing/2014/main" id="{E7DF284F-38BD-4850-9870-AE911F048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129540</xdr:colOff>
      <xdr:row>18</xdr:row>
      <xdr:rowOff>121920</xdr:rowOff>
    </xdr:from>
    <xdr:to>
      <xdr:col>4</xdr:col>
      <xdr:colOff>358140</xdr:colOff>
      <xdr:row>29</xdr:row>
      <xdr:rowOff>99060</xdr:rowOff>
    </xdr:to>
    <xdr:graphicFrame macro="">
      <xdr:nvGraphicFramePr>
        <xdr:cNvPr id="8" name="Chart 7">
          <a:extLst>
            <a:ext uri="{FF2B5EF4-FFF2-40B4-BE49-F238E27FC236}">
              <a16:creationId xmlns:a16="http://schemas.microsoft.com/office/drawing/2014/main" id="{C3560689-7892-459C-A8F7-691708DF7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563880</xdr:colOff>
      <xdr:row>0</xdr:row>
      <xdr:rowOff>83820</xdr:rowOff>
    </xdr:from>
    <xdr:to>
      <xdr:col>17</xdr:col>
      <xdr:colOff>510540</xdr:colOff>
      <xdr:row>5</xdr:row>
      <xdr:rowOff>137160</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561A28C8-00C9-4D0C-92B4-BC882FBBD64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281160" y="83820"/>
              <a:ext cx="26289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12</xdr:row>
      <xdr:rowOff>7621</xdr:rowOff>
    </xdr:from>
    <xdr:to>
      <xdr:col>17</xdr:col>
      <xdr:colOff>525780</xdr:colOff>
      <xdr:row>18</xdr:row>
      <xdr:rowOff>45720</xdr:rowOff>
    </xdr:to>
    <mc:AlternateContent xmlns:mc="http://schemas.openxmlformats.org/markup-compatibility/2006">
      <mc:Choice xmlns:a14="http://schemas.microsoft.com/office/drawing/2010/main" Requires="a14">
        <xdr:graphicFrame macro="">
          <xdr:nvGraphicFramePr>
            <xdr:cNvPr id="10" name="Month_name 1">
              <a:extLst>
                <a:ext uri="{FF2B5EF4-FFF2-40B4-BE49-F238E27FC236}">
                  <a16:creationId xmlns:a16="http://schemas.microsoft.com/office/drawing/2014/main" id="{322DDAA2-F234-4A34-8D7A-D654B6D889C2}"/>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9296400" y="2385061"/>
              <a:ext cx="26289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5</xdr:row>
      <xdr:rowOff>167641</xdr:rowOff>
    </xdr:from>
    <xdr:to>
      <xdr:col>17</xdr:col>
      <xdr:colOff>541020</xdr:colOff>
      <xdr:row>11</xdr:row>
      <xdr:rowOff>175260</xdr:rowOff>
    </xdr:to>
    <mc:AlternateContent xmlns:mc="http://schemas.openxmlformats.org/markup-compatibility/2006">
      <mc:Choice xmlns:a14="http://schemas.microsoft.com/office/drawing/2010/main" Requires="a14">
        <xdr:graphicFrame macro="">
          <xdr:nvGraphicFramePr>
            <xdr:cNvPr id="11" name="Day_name 1">
              <a:extLst>
                <a:ext uri="{FF2B5EF4-FFF2-40B4-BE49-F238E27FC236}">
                  <a16:creationId xmlns:a16="http://schemas.microsoft.com/office/drawing/2014/main" id="{9BC6CE07-A5E3-4DF4-B21C-3A874C91A3AF}"/>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dr:sp macro="" textlink="">
          <xdr:nvSpPr>
            <xdr:cNvPr id="0" name=""/>
            <xdr:cNvSpPr>
              <a:spLocks noTextEdit="1"/>
            </xdr:cNvSpPr>
          </xdr:nvSpPr>
          <xdr:spPr>
            <a:xfrm>
              <a:off x="9288780" y="1158241"/>
              <a:ext cx="265176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91442</xdr:colOff>
      <xdr:row>0</xdr:row>
      <xdr:rowOff>83821</xdr:rowOff>
    </xdr:from>
    <xdr:to>
      <xdr:col>1</xdr:col>
      <xdr:colOff>170622</xdr:colOff>
      <xdr:row>3</xdr:row>
      <xdr:rowOff>45720</xdr:rowOff>
    </xdr:to>
    <xdr:pic>
      <xdr:nvPicPr>
        <xdr:cNvPr id="13" name="Picture 12">
          <a:extLst>
            <a:ext uri="{FF2B5EF4-FFF2-40B4-BE49-F238E27FC236}">
              <a16:creationId xmlns:a16="http://schemas.microsoft.com/office/drawing/2014/main" id="{86DEA85A-D7EA-9984-210E-D145ABD507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442" y="83821"/>
          <a:ext cx="749740" cy="556259"/>
        </a:xfrm>
        <a:prstGeom prst="rect">
          <a:avLst/>
        </a:prstGeom>
        <a:ln>
          <a:noFill/>
        </a:ln>
        <a:effectLst>
          <a:softEdge rad="112500"/>
        </a:effectLst>
      </xdr:spPr>
    </xdr:pic>
    <xdr:clientData/>
  </xdr:twoCellAnchor>
  <xdr:twoCellAnchor>
    <xdr:from>
      <xdr:col>1</xdr:col>
      <xdr:colOff>236220</xdr:colOff>
      <xdr:row>0</xdr:row>
      <xdr:rowOff>83820</xdr:rowOff>
    </xdr:from>
    <xdr:to>
      <xdr:col>13</xdr:col>
      <xdr:colOff>533400</xdr:colOff>
      <xdr:row>3</xdr:row>
      <xdr:rowOff>121920</xdr:rowOff>
    </xdr:to>
    <xdr:sp macro="" textlink="">
      <xdr:nvSpPr>
        <xdr:cNvPr id="14" name="Rectangle: Rounded Corners 13">
          <a:extLst>
            <a:ext uri="{FF2B5EF4-FFF2-40B4-BE49-F238E27FC236}">
              <a16:creationId xmlns:a16="http://schemas.microsoft.com/office/drawing/2014/main" id="{9B1BF165-6DD4-A6D4-77B6-325FA2FAC32E}"/>
            </a:ext>
          </a:extLst>
        </xdr:cNvPr>
        <xdr:cNvSpPr/>
      </xdr:nvSpPr>
      <xdr:spPr>
        <a:xfrm>
          <a:off x="906780" y="83820"/>
          <a:ext cx="8343900" cy="6324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0</xdr:rowOff>
    </xdr:from>
    <xdr:ext cx="9875520" cy="525780"/>
    <xdr:sp macro="" textlink="">
      <xdr:nvSpPr>
        <xdr:cNvPr id="15" name="Rectangle 14">
          <a:extLst>
            <a:ext uri="{FF2B5EF4-FFF2-40B4-BE49-F238E27FC236}">
              <a16:creationId xmlns:a16="http://schemas.microsoft.com/office/drawing/2014/main" id="{03BB4145-67EA-FE49-9B47-8B1DDA947087}"/>
            </a:ext>
          </a:extLst>
        </xdr:cNvPr>
        <xdr:cNvSpPr/>
      </xdr:nvSpPr>
      <xdr:spPr>
        <a:xfrm>
          <a:off x="0" y="0"/>
          <a:ext cx="9875520" cy="525780"/>
        </a:xfrm>
        <a:prstGeom prst="rect">
          <a:avLst/>
        </a:prstGeom>
        <a:noFill/>
      </xdr:spPr>
      <xdr:txBody>
        <a:bodyPr wrap="square" lIns="91440" tIns="45720" rIns="91440" bIns="45720">
          <a:noAutofit/>
        </a:bodyPr>
        <a:lstStyle/>
        <a:p>
          <a:pPr algn="ctr"/>
          <a:r>
            <a:rPr lang="en-US" sz="4800" b="1" cap="none" spc="0" baseline="0">
              <a:ln w="0"/>
              <a:solidFill>
                <a:schemeClr val="accent1"/>
              </a:solidFill>
              <a:effectLst>
                <a:outerShdw blurRad="38100" dist="19050" dir="2700000" algn="tl" rotWithShape="0">
                  <a:schemeClr val="dk1">
                    <a:alpha val="40000"/>
                  </a:schemeClr>
                </a:outerShdw>
              </a:effectLst>
            </a:rPr>
            <a:t>AMAZON STOCK ANALYSIS </a:t>
          </a:r>
          <a:endParaRPr lang="en-US" sz="4800" b="1" cap="none" spc="0">
            <a:ln w="0"/>
            <a:solidFill>
              <a:schemeClr val="accent1"/>
            </a:solidFill>
            <a:effectLst>
              <a:outerShdw blurRad="38100" dist="19050" dir="2700000" algn="tl" rotWithShape="0">
                <a:schemeClr val="dk1">
                  <a:alpha val="40000"/>
                </a:schemeClr>
              </a:outerShdw>
            </a:effectLst>
          </a:endParaRPr>
        </a:p>
      </xdr:txBody>
    </xdr:sp>
    <xdr:clientData/>
  </xdr:oneCellAnchor>
  <xdr:twoCellAnchor>
    <xdr:from>
      <xdr:col>0</xdr:col>
      <xdr:colOff>68580</xdr:colOff>
      <xdr:row>3</xdr:row>
      <xdr:rowOff>175260</xdr:rowOff>
    </xdr:from>
    <xdr:to>
      <xdr:col>3</xdr:col>
      <xdr:colOff>152400</xdr:colOff>
      <xdr:row>6</xdr:row>
      <xdr:rowOff>182880</xdr:rowOff>
    </xdr:to>
    <xdr:sp macro="" textlink="">
      <xdr:nvSpPr>
        <xdr:cNvPr id="20" name="Rectangle: Rounded Corners 19">
          <a:extLst>
            <a:ext uri="{FF2B5EF4-FFF2-40B4-BE49-F238E27FC236}">
              <a16:creationId xmlns:a16="http://schemas.microsoft.com/office/drawing/2014/main" id="{41DF60B3-2965-4277-87E6-F860DEF2824B}"/>
            </a:ext>
          </a:extLst>
        </xdr:cNvPr>
        <xdr:cNvSpPr/>
      </xdr:nvSpPr>
      <xdr:spPr>
        <a:xfrm>
          <a:off x="68580" y="769620"/>
          <a:ext cx="2095500" cy="60198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220980</xdr:colOff>
      <xdr:row>3</xdr:row>
      <xdr:rowOff>190500</xdr:rowOff>
    </xdr:from>
    <xdr:to>
      <xdr:col>6</xdr:col>
      <xdr:colOff>297180</xdr:colOff>
      <xdr:row>6</xdr:row>
      <xdr:rowOff>190500</xdr:rowOff>
    </xdr:to>
    <xdr:sp macro="" textlink="">
      <xdr:nvSpPr>
        <xdr:cNvPr id="22" name="Rectangle: Rounded Corners 21">
          <a:extLst>
            <a:ext uri="{FF2B5EF4-FFF2-40B4-BE49-F238E27FC236}">
              <a16:creationId xmlns:a16="http://schemas.microsoft.com/office/drawing/2014/main" id="{1C67C0A5-0BD4-4088-9887-68C9B2A3138B}"/>
            </a:ext>
          </a:extLst>
        </xdr:cNvPr>
        <xdr:cNvSpPr/>
      </xdr:nvSpPr>
      <xdr:spPr>
        <a:xfrm>
          <a:off x="2232660" y="784860"/>
          <a:ext cx="2087880" cy="5943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365760</xdr:colOff>
      <xdr:row>3</xdr:row>
      <xdr:rowOff>182880</xdr:rowOff>
    </xdr:from>
    <xdr:to>
      <xdr:col>9</xdr:col>
      <xdr:colOff>365760</xdr:colOff>
      <xdr:row>6</xdr:row>
      <xdr:rowOff>182880</xdr:rowOff>
    </xdr:to>
    <xdr:sp macro="" textlink="">
      <xdr:nvSpPr>
        <xdr:cNvPr id="23" name="Rectangle: Rounded Corners 22">
          <a:extLst>
            <a:ext uri="{FF2B5EF4-FFF2-40B4-BE49-F238E27FC236}">
              <a16:creationId xmlns:a16="http://schemas.microsoft.com/office/drawing/2014/main" id="{1992BA44-77C5-4E64-8E2A-42315A01722E}"/>
            </a:ext>
          </a:extLst>
        </xdr:cNvPr>
        <xdr:cNvSpPr/>
      </xdr:nvSpPr>
      <xdr:spPr>
        <a:xfrm>
          <a:off x="4389120" y="777240"/>
          <a:ext cx="2011680" cy="5943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3</xdr:row>
      <xdr:rowOff>182880</xdr:rowOff>
    </xdr:from>
    <xdr:to>
      <xdr:col>13</xdr:col>
      <xdr:colOff>533400</xdr:colOff>
      <xdr:row>6</xdr:row>
      <xdr:rowOff>182880</xdr:rowOff>
    </xdr:to>
    <xdr:sp macro="" textlink="">
      <xdr:nvSpPr>
        <xdr:cNvPr id="24" name="Rectangle: Rounded Corners 23">
          <a:extLst>
            <a:ext uri="{FF2B5EF4-FFF2-40B4-BE49-F238E27FC236}">
              <a16:creationId xmlns:a16="http://schemas.microsoft.com/office/drawing/2014/main" id="{E4760A18-2076-4DEA-8C59-A95AD42569E4}"/>
            </a:ext>
          </a:extLst>
        </xdr:cNvPr>
        <xdr:cNvSpPr/>
      </xdr:nvSpPr>
      <xdr:spPr>
        <a:xfrm>
          <a:off x="6454140" y="777240"/>
          <a:ext cx="2796540" cy="59436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4</xdr:row>
      <xdr:rowOff>22860</xdr:rowOff>
    </xdr:from>
    <xdr:to>
      <xdr:col>2</xdr:col>
      <xdr:colOff>662940</xdr:colOff>
      <xdr:row>5</xdr:row>
      <xdr:rowOff>137160</xdr:rowOff>
    </xdr:to>
    <xdr:sp macro="" textlink="">
      <xdr:nvSpPr>
        <xdr:cNvPr id="26" name="TextBox 25">
          <a:extLst>
            <a:ext uri="{FF2B5EF4-FFF2-40B4-BE49-F238E27FC236}">
              <a16:creationId xmlns:a16="http://schemas.microsoft.com/office/drawing/2014/main" id="{83853A54-1BA8-B8F9-9084-0726E75818CB}"/>
            </a:ext>
          </a:extLst>
        </xdr:cNvPr>
        <xdr:cNvSpPr txBox="1"/>
      </xdr:nvSpPr>
      <xdr:spPr>
        <a:xfrm>
          <a:off x="106680" y="815340"/>
          <a:ext cx="1897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Average</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of</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High</a:t>
          </a:r>
          <a:r>
            <a:rPr lang="en-IN" sz="1400">
              <a:effectLst/>
            </a:rPr>
            <a:t> </a:t>
          </a:r>
          <a:endParaRPr lang="en-IN" sz="1400"/>
        </a:p>
      </xdr:txBody>
    </xdr:sp>
    <xdr:clientData/>
  </xdr:twoCellAnchor>
  <xdr:twoCellAnchor>
    <xdr:from>
      <xdr:col>3</xdr:col>
      <xdr:colOff>220980</xdr:colOff>
      <xdr:row>4</xdr:row>
      <xdr:rowOff>22860</xdr:rowOff>
    </xdr:from>
    <xdr:to>
      <xdr:col>6</xdr:col>
      <xdr:colOff>274320</xdr:colOff>
      <xdr:row>5</xdr:row>
      <xdr:rowOff>190500</xdr:rowOff>
    </xdr:to>
    <xdr:sp macro="" textlink="">
      <xdr:nvSpPr>
        <xdr:cNvPr id="27" name="TextBox 26">
          <a:extLst>
            <a:ext uri="{FF2B5EF4-FFF2-40B4-BE49-F238E27FC236}">
              <a16:creationId xmlns:a16="http://schemas.microsoft.com/office/drawing/2014/main" id="{355EE44E-8890-4682-A831-994B08A69C44}"/>
            </a:ext>
          </a:extLst>
        </xdr:cNvPr>
        <xdr:cNvSpPr txBox="1"/>
      </xdr:nvSpPr>
      <xdr:spPr>
        <a:xfrm>
          <a:off x="2232660" y="815340"/>
          <a:ext cx="20650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Average</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of</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Close</a:t>
          </a:r>
        </a:p>
      </xdr:txBody>
    </xdr:sp>
    <xdr:clientData/>
  </xdr:twoCellAnchor>
  <xdr:twoCellAnchor>
    <xdr:from>
      <xdr:col>6</xdr:col>
      <xdr:colOff>205740</xdr:colOff>
      <xdr:row>3</xdr:row>
      <xdr:rowOff>190500</xdr:rowOff>
    </xdr:from>
    <xdr:to>
      <xdr:col>8</xdr:col>
      <xdr:colOff>662940</xdr:colOff>
      <xdr:row>5</xdr:row>
      <xdr:rowOff>137160</xdr:rowOff>
    </xdr:to>
    <xdr:sp macro="" textlink="">
      <xdr:nvSpPr>
        <xdr:cNvPr id="28" name="TextBox 27">
          <a:extLst>
            <a:ext uri="{FF2B5EF4-FFF2-40B4-BE49-F238E27FC236}">
              <a16:creationId xmlns:a16="http://schemas.microsoft.com/office/drawing/2014/main" id="{2825074E-AB23-452B-AD5A-82C3A22DCCFC}"/>
            </a:ext>
          </a:extLst>
        </xdr:cNvPr>
        <xdr:cNvSpPr txBox="1"/>
      </xdr:nvSpPr>
      <xdr:spPr>
        <a:xfrm>
          <a:off x="4229100" y="784860"/>
          <a:ext cx="17983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Average</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of</a:t>
          </a:r>
          <a:r>
            <a:rPr lang="en-IN" sz="1400" b="1" i="0" u="none" strike="noStrike">
              <a:solidFill>
                <a:schemeClr val="accent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Low</a:t>
          </a:r>
          <a:r>
            <a:rPr lang="en-IN" sz="1400">
              <a:effectLst/>
            </a:rPr>
            <a:t> </a:t>
          </a:r>
          <a:endParaRPr lang="en-IN" sz="1400"/>
        </a:p>
      </xdr:txBody>
    </xdr:sp>
    <xdr:clientData/>
  </xdr:twoCellAnchor>
  <xdr:twoCellAnchor>
    <xdr:from>
      <xdr:col>9</xdr:col>
      <xdr:colOff>289560</xdr:colOff>
      <xdr:row>4</xdr:row>
      <xdr:rowOff>7620</xdr:rowOff>
    </xdr:from>
    <xdr:to>
      <xdr:col>13</xdr:col>
      <xdr:colOff>464820</xdr:colOff>
      <xdr:row>5</xdr:row>
      <xdr:rowOff>144780</xdr:rowOff>
    </xdr:to>
    <xdr:sp macro="" textlink="">
      <xdr:nvSpPr>
        <xdr:cNvPr id="29" name="TextBox 28">
          <a:extLst>
            <a:ext uri="{FF2B5EF4-FFF2-40B4-BE49-F238E27FC236}">
              <a16:creationId xmlns:a16="http://schemas.microsoft.com/office/drawing/2014/main" id="{44C29135-3971-4EA9-A1B4-97C2703FDCD0}"/>
            </a:ext>
          </a:extLst>
        </xdr:cNvPr>
        <xdr:cNvSpPr txBox="1"/>
      </xdr:nvSpPr>
      <xdr:spPr>
        <a:xfrm>
          <a:off x="6324600" y="800100"/>
          <a:ext cx="2857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Average</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of</a:t>
          </a:r>
          <a:r>
            <a:rPr lang="en-IN" sz="1400" b="1" i="0" u="none" strike="noStrike">
              <a:solidFill>
                <a:schemeClr val="dk1"/>
              </a:solidFill>
              <a:effectLst/>
              <a:latin typeface="+mn-lt"/>
              <a:ea typeface="+mn-ea"/>
              <a:cs typeface="+mn-cs"/>
            </a:rPr>
            <a:t> </a:t>
          </a:r>
          <a:r>
            <a:rPr lang="en-IN" sz="1400" b="1" cap="none" spc="0" baseline="0">
              <a:ln w="0"/>
              <a:solidFill>
                <a:schemeClr val="accent1"/>
              </a:solidFill>
              <a:effectLst>
                <a:outerShdw blurRad="38100" dist="19050" dir="2700000" algn="tl" rotWithShape="0">
                  <a:schemeClr val="dk1">
                    <a:alpha val="40000"/>
                  </a:schemeClr>
                </a:outerShdw>
              </a:effectLst>
              <a:latin typeface="+mn-lt"/>
              <a:ea typeface="+mn-ea"/>
              <a:cs typeface="+mn-cs"/>
            </a:rPr>
            <a:t>Open</a:t>
          </a:r>
        </a:p>
      </xdr:txBody>
    </xdr:sp>
    <xdr:clientData/>
  </xdr:twoCellAnchor>
  <xdr:twoCellAnchor>
    <xdr:from>
      <xdr:col>1</xdr:col>
      <xdr:colOff>15240</xdr:colOff>
      <xdr:row>5</xdr:row>
      <xdr:rowOff>15240</xdr:rowOff>
    </xdr:from>
    <xdr:to>
      <xdr:col>2</xdr:col>
      <xdr:colOff>304800</xdr:colOff>
      <xdr:row>6</xdr:row>
      <xdr:rowOff>83820</xdr:rowOff>
    </xdr:to>
    <xdr:sp macro="" textlink="Pivot_tables!$Y$4">
      <xdr:nvSpPr>
        <xdr:cNvPr id="30" name="TextBox 29">
          <a:extLst>
            <a:ext uri="{FF2B5EF4-FFF2-40B4-BE49-F238E27FC236}">
              <a16:creationId xmlns:a16="http://schemas.microsoft.com/office/drawing/2014/main" id="{543B5D45-495D-4611-9BAA-42FF4296C98D}"/>
            </a:ext>
          </a:extLst>
        </xdr:cNvPr>
        <xdr:cNvSpPr txBox="1"/>
      </xdr:nvSpPr>
      <xdr:spPr>
        <a:xfrm>
          <a:off x="685800" y="1005840"/>
          <a:ext cx="960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3738E-FBEF-40B5-BAD5-12A22E71C1F6}" type="TxLink">
            <a:rPr lang="en-US" sz="1400" b="1" i="0" u="none" strike="noStrike">
              <a:solidFill>
                <a:srgbClr val="FF0000"/>
              </a:solidFill>
              <a:effectLst/>
              <a:latin typeface="Calibri"/>
              <a:ea typeface="Calibri"/>
              <a:cs typeface="Calibri"/>
            </a:rPr>
            <a:t>124.63</a:t>
          </a:fld>
          <a:endParaRPr lang="en-IN" sz="1400" b="1">
            <a:solidFill>
              <a:srgbClr val="FF0000"/>
            </a:solidFill>
          </a:endParaRPr>
        </a:p>
      </xdr:txBody>
    </xdr:sp>
    <xdr:clientData/>
  </xdr:twoCellAnchor>
  <xdr:twoCellAnchor>
    <xdr:from>
      <xdr:col>4</xdr:col>
      <xdr:colOff>175260</xdr:colOff>
      <xdr:row>5</xdr:row>
      <xdr:rowOff>22860</xdr:rowOff>
    </xdr:from>
    <xdr:to>
      <xdr:col>5</xdr:col>
      <xdr:colOff>464820</xdr:colOff>
      <xdr:row>6</xdr:row>
      <xdr:rowOff>91440</xdr:rowOff>
    </xdr:to>
    <xdr:sp macro="" textlink="Pivot_tables!Z4">
      <xdr:nvSpPr>
        <xdr:cNvPr id="31" name="TextBox 30">
          <a:extLst>
            <a:ext uri="{FF2B5EF4-FFF2-40B4-BE49-F238E27FC236}">
              <a16:creationId xmlns:a16="http://schemas.microsoft.com/office/drawing/2014/main" id="{40A82913-E03F-663B-73F7-A93B863C3A96}"/>
            </a:ext>
          </a:extLst>
        </xdr:cNvPr>
        <xdr:cNvSpPr txBox="1"/>
      </xdr:nvSpPr>
      <xdr:spPr>
        <a:xfrm>
          <a:off x="2857500" y="1013460"/>
          <a:ext cx="960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A61124-FC79-4FF8-B8B2-180E2A258D06}" type="TxLink">
            <a:rPr lang="en-US" sz="1400" b="1" i="0" u="none" strike="noStrike">
              <a:solidFill>
                <a:srgbClr val="FF0000"/>
              </a:solidFill>
              <a:effectLst/>
              <a:latin typeface="Calibri"/>
              <a:ea typeface="Calibri"/>
              <a:cs typeface="Calibri"/>
            </a:rPr>
            <a:t>123.22</a:t>
          </a:fld>
          <a:endParaRPr lang="en-IN" sz="1400" b="1">
            <a:solidFill>
              <a:srgbClr val="FF0000"/>
            </a:solidFill>
          </a:endParaRPr>
        </a:p>
      </xdr:txBody>
    </xdr:sp>
    <xdr:clientData/>
  </xdr:twoCellAnchor>
  <xdr:twoCellAnchor>
    <xdr:from>
      <xdr:col>7</xdr:col>
      <xdr:colOff>327660</xdr:colOff>
      <xdr:row>5</xdr:row>
      <xdr:rowOff>7620</xdr:rowOff>
    </xdr:from>
    <xdr:to>
      <xdr:col>8</xdr:col>
      <xdr:colOff>617220</xdr:colOff>
      <xdr:row>6</xdr:row>
      <xdr:rowOff>76200</xdr:rowOff>
    </xdr:to>
    <xdr:sp macro="" textlink="Pivot_tables!AA4">
      <xdr:nvSpPr>
        <xdr:cNvPr id="33" name="TextBox 32">
          <a:extLst>
            <a:ext uri="{FF2B5EF4-FFF2-40B4-BE49-F238E27FC236}">
              <a16:creationId xmlns:a16="http://schemas.microsoft.com/office/drawing/2014/main" id="{A032A742-40A0-FD43-69FF-3FA287474DB7}"/>
            </a:ext>
          </a:extLst>
        </xdr:cNvPr>
        <xdr:cNvSpPr txBox="1"/>
      </xdr:nvSpPr>
      <xdr:spPr>
        <a:xfrm>
          <a:off x="5021580" y="998220"/>
          <a:ext cx="960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124A84-915F-4A5E-BEDF-370E330706A1}" type="TxLink">
            <a:rPr lang="en-US" sz="1400" b="1" i="0" u="none" strike="noStrike">
              <a:solidFill>
                <a:srgbClr val="FF0000"/>
              </a:solidFill>
              <a:effectLst/>
              <a:latin typeface="Calibri"/>
              <a:ea typeface="Calibri"/>
              <a:cs typeface="Calibri"/>
            </a:rPr>
            <a:t>121.62</a:t>
          </a:fld>
          <a:endParaRPr lang="en-IN" sz="1400" b="1">
            <a:solidFill>
              <a:srgbClr val="FF0000"/>
            </a:solidFill>
          </a:endParaRPr>
        </a:p>
      </xdr:txBody>
    </xdr:sp>
    <xdr:clientData/>
  </xdr:twoCellAnchor>
  <xdr:twoCellAnchor>
    <xdr:from>
      <xdr:col>11</xdr:col>
      <xdr:colOff>7620</xdr:colOff>
      <xdr:row>5</xdr:row>
      <xdr:rowOff>38100</xdr:rowOff>
    </xdr:from>
    <xdr:to>
      <xdr:col>12</xdr:col>
      <xdr:colOff>297180</xdr:colOff>
      <xdr:row>6</xdr:row>
      <xdr:rowOff>106680</xdr:rowOff>
    </xdr:to>
    <xdr:sp macro="" textlink="Pivot_tables!AB4">
      <xdr:nvSpPr>
        <xdr:cNvPr id="34" name="TextBox 33">
          <a:extLst>
            <a:ext uri="{FF2B5EF4-FFF2-40B4-BE49-F238E27FC236}">
              <a16:creationId xmlns:a16="http://schemas.microsoft.com/office/drawing/2014/main" id="{298A83C7-E6AE-E82F-626C-5128724D425B}"/>
            </a:ext>
          </a:extLst>
        </xdr:cNvPr>
        <xdr:cNvSpPr txBox="1"/>
      </xdr:nvSpPr>
      <xdr:spPr>
        <a:xfrm>
          <a:off x="7383780" y="1028700"/>
          <a:ext cx="960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BEC86C-42F5-4544-A711-BE4F948884A1}" type="TxLink">
            <a:rPr lang="en-US" sz="1400" b="1" i="0" u="none" strike="noStrike">
              <a:solidFill>
                <a:srgbClr val="FF0000"/>
              </a:solidFill>
              <a:effectLst/>
              <a:latin typeface="Calibri"/>
              <a:ea typeface="Calibri"/>
              <a:cs typeface="Calibri"/>
            </a:rPr>
            <a:t>123.06</a:t>
          </a:fld>
          <a:endParaRPr lang="en-IN" sz="1400" b="1">
            <a:solidFill>
              <a:srgbClr val="FF0000"/>
            </a:solidFill>
          </a:endParaRPr>
        </a:p>
      </xdr:txBody>
    </xdr:sp>
    <xdr:clientData/>
  </xdr:twoCellAnchor>
  <xdr:twoCellAnchor>
    <xdr:from>
      <xdr:col>4</xdr:col>
      <xdr:colOff>464820</xdr:colOff>
      <xdr:row>7</xdr:row>
      <xdr:rowOff>60960</xdr:rowOff>
    </xdr:from>
    <xdr:to>
      <xdr:col>9</xdr:col>
      <xdr:colOff>358140</xdr:colOff>
      <xdr:row>18</xdr:row>
      <xdr:rowOff>30480</xdr:rowOff>
    </xdr:to>
    <xdr:sp macro="" textlink="">
      <xdr:nvSpPr>
        <xdr:cNvPr id="43" name="Rectangle 42">
          <a:extLst>
            <a:ext uri="{FF2B5EF4-FFF2-40B4-BE49-F238E27FC236}">
              <a16:creationId xmlns:a16="http://schemas.microsoft.com/office/drawing/2014/main" id="{5489D399-C02D-39D5-D75E-71C2847B7AF7}"/>
            </a:ext>
          </a:extLst>
        </xdr:cNvPr>
        <xdr:cNvSpPr/>
      </xdr:nvSpPr>
      <xdr:spPr>
        <a:xfrm>
          <a:off x="3147060" y="1447800"/>
          <a:ext cx="3246120" cy="214884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7</xdr:row>
      <xdr:rowOff>60960</xdr:rowOff>
    </xdr:from>
    <xdr:to>
      <xdr:col>4</xdr:col>
      <xdr:colOff>403860</xdr:colOff>
      <xdr:row>18</xdr:row>
      <xdr:rowOff>22860</xdr:rowOff>
    </xdr:to>
    <xdr:sp macro="" textlink="">
      <xdr:nvSpPr>
        <xdr:cNvPr id="45" name="Rectangle 44">
          <a:extLst>
            <a:ext uri="{FF2B5EF4-FFF2-40B4-BE49-F238E27FC236}">
              <a16:creationId xmlns:a16="http://schemas.microsoft.com/office/drawing/2014/main" id="{ACA19E32-E801-330A-0FAB-272FC4046F23}"/>
            </a:ext>
          </a:extLst>
        </xdr:cNvPr>
        <xdr:cNvSpPr/>
      </xdr:nvSpPr>
      <xdr:spPr>
        <a:xfrm>
          <a:off x="60960" y="1447800"/>
          <a:ext cx="3025140" cy="214122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99060</xdr:colOff>
      <xdr:row>18</xdr:row>
      <xdr:rowOff>91440</xdr:rowOff>
    </xdr:from>
    <xdr:to>
      <xdr:col>17</xdr:col>
      <xdr:colOff>525780</xdr:colOff>
      <xdr:row>29</xdr:row>
      <xdr:rowOff>129540</xdr:rowOff>
    </xdr:to>
    <xdr:sp macro="" textlink="">
      <xdr:nvSpPr>
        <xdr:cNvPr id="46" name="Rectangle 45">
          <a:extLst>
            <a:ext uri="{FF2B5EF4-FFF2-40B4-BE49-F238E27FC236}">
              <a16:creationId xmlns:a16="http://schemas.microsoft.com/office/drawing/2014/main" id="{2477C2EF-270A-23A2-367B-F06A9C69A1A5}"/>
            </a:ext>
          </a:extLst>
        </xdr:cNvPr>
        <xdr:cNvSpPr/>
      </xdr:nvSpPr>
      <xdr:spPr>
        <a:xfrm>
          <a:off x="6804660" y="3657600"/>
          <a:ext cx="5120640" cy="221742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18</xdr:row>
      <xdr:rowOff>91440</xdr:rowOff>
    </xdr:from>
    <xdr:to>
      <xdr:col>4</xdr:col>
      <xdr:colOff>403860</xdr:colOff>
      <xdr:row>29</xdr:row>
      <xdr:rowOff>144780</xdr:rowOff>
    </xdr:to>
    <xdr:sp macro="" textlink="">
      <xdr:nvSpPr>
        <xdr:cNvPr id="47" name="Rectangle 46">
          <a:extLst>
            <a:ext uri="{FF2B5EF4-FFF2-40B4-BE49-F238E27FC236}">
              <a16:creationId xmlns:a16="http://schemas.microsoft.com/office/drawing/2014/main" id="{19647CD2-1358-237D-ACD2-7E01FF4F25FB}"/>
            </a:ext>
          </a:extLst>
        </xdr:cNvPr>
        <xdr:cNvSpPr/>
      </xdr:nvSpPr>
      <xdr:spPr>
        <a:xfrm>
          <a:off x="60960" y="3657600"/>
          <a:ext cx="3025140" cy="223266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472440</xdr:colOff>
      <xdr:row>18</xdr:row>
      <xdr:rowOff>99060</xdr:rowOff>
    </xdr:from>
    <xdr:to>
      <xdr:col>10</xdr:col>
      <xdr:colOff>30480</xdr:colOff>
      <xdr:row>29</xdr:row>
      <xdr:rowOff>129540</xdr:rowOff>
    </xdr:to>
    <xdr:sp macro="" textlink="">
      <xdr:nvSpPr>
        <xdr:cNvPr id="48" name="Rectangle 47">
          <a:extLst>
            <a:ext uri="{FF2B5EF4-FFF2-40B4-BE49-F238E27FC236}">
              <a16:creationId xmlns:a16="http://schemas.microsoft.com/office/drawing/2014/main" id="{BEAC0957-E4D7-C1AE-BB60-4F861BF38656}"/>
            </a:ext>
          </a:extLst>
        </xdr:cNvPr>
        <xdr:cNvSpPr/>
      </xdr:nvSpPr>
      <xdr:spPr>
        <a:xfrm>
          <a:off x="3154680" y="3665220"/>
          <a:ext cx="3581400" cy="22098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426720</xdr:colOff>
      <xdr:row>7</xdr:row>
      <xdr:rowOff>38100</xdr:rowOff>
    </xdr:from>
    <xdr:to>
      <xdr:col>13</xdr:col>
      <xdr:colOff>541020</xdr:colOff>
      <xdr:row>18</xdr:row>
      <xdr:rowOff>22860</xdr:rowOff>
    </xdr:to>
    <xdr:sp macro="" textlink="">
      <xdr:nvSpPr>
        <xdr:cNvPr id="49" name="Rectangle 48">
          <a:extLst>
            <a:ext uri="{FF2B5EF4-FFF2-40B4-BE49-F238E27FC236}">
              <a16:creationId xmlns:a16="http://schemas.microsoft.com/office/drawing/2014/main" id="{8B8A7E6C-6F09-E86D-C4E4-707B8DDB2108}"/>
            </a:ext>
          </a:extLst>
        </xdr:cNvPr>
        <xdr:cNvSpPr/>
      </xdr:nvSpPr>
      <xdr:spPr>
        <a:xfrm>
          <a:off x="6461760" y="1424940"/>
          <a:ext cx="2796540" cy="216408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579120</xdr:colOff>
      <xdr:row>5</xdr:row>
      <xdr:rowOff>175260</xdr:rowOff>
    </xdr:from>
    <xdr:to>
      <xdr:col>17</xdr:col>
      <xdr:colOff>533400</xdr:colOff>
      <xdr:row>11</xdr:row>
      <xdr:rowOff>175260</xdr:rowOff>
    </xdr:to>
    <xdr:sp macro="" textlink="">
      <xdr:nvSpPr>
        <xdr:cNvPr id="52" name="Rectangle 51">
          <a:extLst>
            <a:ext uri="{FF2B5EF4-FFF2-40B4-BE49-F238E27FC236}">
              <a16:creationId xmlns:a16="http://schemas.microsoft.com/office/drawing/2014/main" id="{232EA984-E836-46CE-B000-340FE858096E}"/>
            </a:ext>
          </a:extLst>
        </xdr:cNvPr>
        <xdr:cNvSpPr/>
      </xdr:nvSpPr>
      <xdr:spPr>
        <a:xfrm>
          <a:off x="9296400" y="1165860"/>
          <a:ext cx="2636520" cy="118872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571500</xdr:colOff>
      <xdr:row>0</xdr:row>
      <xdr:rowOff>83820</xdr:rowOff>
    </xdr:from>
    <xdr:to>
      <xdr:col>17</xdr:col>
      <xdr:colOff>510540</xdr:colOff>
      <xdr:row>5</xdr:row>
      <xdr:rowOff>129540</xdr:rowOff>
    </xdr:to>
    <xdr:sp macro="" textlink="">
      <xdr:nvSpPr>
        <xdr:cNvPr id="54" name="Rectangle 53">
          <a:extLst>
            <a:ext uri="{FF2B5EF4-FFF2-40B4-BE49-F238E27FC236}">
              <a16:creationId xmlns:a16="http://schemas.microsoft.com/office/drawing/2014/main" id="{366D368A-5B06-4CCA-BFCC-DCBFDA547534}"/>
            </a:ext>
          </a:extLst>
        </xdr:cNvPr>
        <xdr:cNvSpPr/>
      </xdr:nvSpPr>
      <xdr:spPr>
        <a:xfrm>
          <a:off x="9288780" y="83820"/>
          <a:ext cx="2621280" cy="103632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579120</xdr:colOff>
      <xdr:row>12</xdr:row>
      <xdr:rowOff>7620</xdr:rowOff>
    </xdr:from>
    <xdr:to>
      <xdr:col>17</xdr:col>
      <xdr:colOff>533400</xdr:colOff>
      <xdr:row>18</xdr:row>
      <xdr:rowOff>45720</xdr:rowOff>
    </xdr:to>
    <xdr:sp macro="" textlink="">
      <xdr:nvSpPr>
        <xdr:cNvPr id="55" name="Rectangle 54">
          <a:extLst>
            <a:ext uri="{FF2B5EF4-FFF2-40B4-BE49-F238E27FC236}">
              <a16:creationId xmlns:a16="http://schemas.microsoft.com/office/drawing/2014/main" id="{137000DB-7D68-47F2-9951-E1C403B4BAB1}"/>
            </a:ext>
          </a:extLst>
        </xdr:cNvPr>
        <xdr:cNvSpPr/>
      </xdr:nvSpPr>
      <xdr:spPr>
        <a:xfrm>
          <a:off x="9296400" y="2385060"/>
          <a:ext cx="2636520" cy="122682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kashyap" refreshedDate="46019.811367245369" createdVersion="8" refreshedVersion="8" minRefreshableVersion="3" recordCount="251" xr:uid="{4C7A4D06-8F35-4585-A78C-BFEBA2265343}">
  <cacheSource type="worksheet">
    <worksheetSource name="Table2"/>
  </cacheSource>
  <cacheFields count="10">
    <cacheField name="Date" numFmtId="14">
      <sharedItems containsSemiMixedTypes="0" containsNonDate="0" containsDate="1" containsString="0" minDate="2023-01-12T00:00:00" maxDate="2024-01-12T00:00:00"/>
    </cacheField>
    <cacheField name="Open" numFmtId="0">
      <sharedItems containsSemiMixedTypes="0" containsString="0" containsNumber="1" minValue="89.970000999999996" maxValue="155.03999300000001"/>
    </cacheField>
    <cacheField name="High" numFmtId="0">
      <sharedItems containsSemiMixedTypes="0" containsString="0" containsNumber="1" minValue="92.230002999999996" maxValue="157.16999799999999"/>
    </cacheField>
    <cacheField name="Low" numFmtId="0">
      <sharedItems containsSemiMixedTypes="0" containsString="0" containsNumber="1" minValue="88.120002999999997" maxValue="153.11999499999999"/>
    </cacheField>
    <cacheField name="Close" numFmtId="0">
      <sharedItems containsSemiMixedTypes="0" containsString="0" containsNumber="1" minValue="90.730002999999996" maxValue="155.179993"/>
    </cacheField>
    <cacheField name="Adj Close" numFmtId="0">
      <sharedItems containsSemiMixedTypes="0" containsString="0" containsNumber="1" minValue="90.730002999999996" maxValue="155.179993"/>
    </cacheField>
    <cacheField name="Volume" numFmtId="0">
      <sharedItems containsSemiMixedTypes="0" containsString="0" containsNumber="1" containsInteger="1" minValue="22378400" maxValue="158154200"/>
    </cacheField>
    <cacheField name="Day_name" numFmtId="0">
      <sharedItems count="5">
        <s v="Thu"/>
        <s v="Fri"/>
        <s v="Tue"/>
        <s v="Wed"/>
        <s v="Mon"/>
      </sharedItems>
    </cacheField>
    <cacheField name="Month_name" numFmtId="0">
      <sharedItems count="12">
        <s v="January"/>
        <s v="February"/>
        <s v="March"/>
        <s v="April"/>
        <s v="May"/>
        <s v="June"/>
        <s v="July"/>
        <s v="August"/>
        <s v="September"/>
        <s v="October"/>
        <s v="November"/>
        <s v="December"/>
      </sharedItems>
    </cacheField>
    <cacheField name="Year" numFmtId="0">
      <sharedItems count="2">
        <s v="2023"/>
        <s v="2024"/>
      </sharedItems>
    </cacheField>
  </cacheFields>
  <extLst>
    <ext xmlns:x14="http://schemas.microsoft.com/office/spreadsheetml/2009/9/main" uri="{725AE2AE-9491-48be-B2B4-4EB974FC3084}">
      <x14:pivotCacheDefinition pivotCacheId="1758642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d v="2023-01-12T00:00:00"/>
    <n v="96.93"/>
    <n v="97.190002000000007"/>
    <n v="93.5"/>
    <n v="95.269997000000004"/>
    <n v="95.269997000000004"/>
    <n v="85254800"/>
    <x v="0"/>
    <x v="0"/>
    <x v="0"/>
  </r>
  <r>
    <d v="2023-01-13T00:00:00"/>
    <n v="94.18"/>
    <n v="98.370002999999997"/>
    <n v="94.120002999999997"/>
    <n v="98.120002999999997"/>
    <n v="98.120002999999997"/>
    <n v="85549400"/>
    <x v="1"/>
    <x v="0"/>
    <x v="0"/>
  </r>
  <r>
    <d v="2023-01-17T00:00:00"/>
    <n v="98.68"/>
    <n v="98.889999000000003"/>
    <n v="95.730002999999996"/>
    <n v="96.050003000000004"/>
    <n v="96.050003000000004"/>
    <n v="72755000"/>
    <x v="2"/>
    <x v="0"/>
    <x v="0"/>
  </r>
  <r>
    <d v="2023-01-18T00:00:00"/>
    <n v="97.25"/>
    <n v="99.32"/>
    <n v="95.379997000000003"/>
    <n v="95.459998999999996"/>
    <n v="95.459998999999996"/>
    <n v="79570400"/>
    <x v="3"/>
    <x v="0"/>
    <x v="0"/>
  </r>
  <r>
    <d v="2023-01-19T00:00:00"/>
    <n v="94.739998"/>
    <n v="95.440002000000007"/>
    <n v="92.860000999999997"/>
    <n v="93.68"/>
    <n v="93.68"/>
    <n v="69002700"/>
    <x v="0"/>
    <x v="0"/>
    <x v="0"/>
  </r>
  <r>
    <d v="2023-01-20T00:00:00"/>
    <n v="93.860000999999997"/>
    <n v="97.349997999999999"/>
    <n v="93.199996999999996"/>
    <n v="97.25"/>
    <n v="97.25"/>
    <n v="67481500"/>
    <x v="1"/>
    <x v="0"/>
    <x v="0"/>
  </r>
  <r>
    <d v="2023-01-23T00:00:00"/>
    <n v="97.559997999999993"/>
    <n v="97.779999000000004"/>
    <n v="95.860000999999997"/>
    <n v="97.519997000000004"/>
    <n v="97.519997000000004"/>
    <n v="76501100"/>
    <x v="4"/>
    <x v="0"/>
    <x v="0"/>
  </r>
  <r>
    <d v="2023-01-24T00:00:00"/>
    <n v="96.93"/>
    <n v="98.089995999999999"/>
    <n v="96"/>
    <n v="96.32"/>
    <n v="96.32"/>
    <n v="66929500"/>
    <x v="2"/>
    <x v="0"/>
    <x v="0"/>
  </r>
  <r>
    <d v="2023-01-25T00:00:00"/>
    <n v="92.559997999999993"/>
    <n v="97.239998"/>
    <n v="91.519997000000004"/>
    <n v="97.18"/>
    <n v="97.18"/>
    <n v="94261600"/>
    <x v="3"/>
    <x v="0"/>
    <x v="0"/>
  </r>
  <r>
    <d v="2023-01-26T00:00:00"/>
    <n v="98.239998"/>
    <n v="99.489998"/>
    <n v="96.919998000000007"/>
    <n v="99.220000999999996"/>
    <n v="99.220000999999996"/>
    <n v="68523600"/>
    <x v="0"/>
    <x v="0"/>
    <x v="0"/>
  </r>
  <r>
    <d v="2023-01-27T00:00:00"/>
    <n v="99.529999000000004"/>
    <n v="103.489998"/>
    <n v="99.529999000000004"/>
    <n v="102.239998"/>
    <n v="102.239998"/>
    <n v="87775600"/>
    <x v="1"/>
    <x v="0"/>
    <x v="0"/>
  </r>
  <r>
    <d v="2023-01-30T00:00:00"/>
    <n v="101.089996"/>
    <n v="101.739998"/>
    <n v="99.010002"/>
    <n v="100.550003"/>
    <n v="100.550003"/>
    <n v="70691900"/>
    <x v="4"/>
    <x v="0"/>
    <x v="0"/>
  </r>
  <r>
    <d v="2023-01-31T00:00:00"/>
    <n v="101.160004"/>
    <n v="103.349998"/>
    <n v="101.139999"/>
    <n v="103.129997"/>
    <n v="103.129997"/>
    <n v="66527300"/>
    <x v="2"/>
    <x v="0"/>
    <x v="0"/>
  </r>
  <r>
    <d v="2023-02-01T00:00:00"/>
    <n v="102.529999"/>
    <n v="106.239998"/>
    <n v="101.239998"/>
    <n v="105.150002"/>
    <n v="105.150002"/>
    <n v="80450100"/>
    <x v="3"/>
    <x v="1"/>
    <x v="0"/>
  </r>
  <r>
    <d v="2023-02-02T00:00:00"/>
    <n v="110.25"/>
    <n v="114"/>
    <n v="108.879997"/>
    <n v="112.910004"/>
    <n v="112.910004"/>
    <n v="158154200"/>
    <x v="0"/>
    <x v="1"/>
    <x v="0"/>
  </r>
  <r>
    <d v="2023-02-03T00:00:00"/>
    <n v="105.260002"/>
    <n v="108.779999"/>
    <n v="102.519997"/>
    <n v="103.389999"/>
    <n v="103.389999"/>
    <n v="144374800"/>
    <x v="1"/>
    <x v="1"/>
    <x v="0"/>
  </r>
  <r>
    <d v="2023-02-06T00:00:00"/>
    <n v="102.93"/>
    <n v="103.949997"/>
    <n v="100.650002"/>
    <n v="102.18"/>
    <n v="102.18"/>
    <n v="81945200"/>
    <x v="4"/>
    <x v="1"/>
    <x v="0"/>
  </r>
  <r>
    <d v="2023-02-07T00:00:00"/>
    <n v="101.16999800000001"/>
    <n v="102.410004"/>
    <n v="98.080001999999993"/>
    <n v="102.110001"/>
    <n v="102.110001"/>
    <n v="119501300"/>
    <x v="2"/>
    <x v="1"/>
    <x v="0"/>
  </r>
  <r>
    <d v="2023-02-08T00:00:00"/>
    <n v="102.040001"/>
    <n v="102.66999800000001"/>
    <n v="98.779999000000004"/>
    <n v="100.050003"/>
    <n v="100.050003"/>
    <n v="75878300"/>
    <x v="3"/>
    <x v="1"/>
    <x v="0"/>
  </r>
  <r>
    <d v="2023-02-09T00:00:00"/>
    <n v="101.32"/>
    <n v="101.779999"/>
    <n v="97.57"/>
    <n v="98.239998"/>
    <n v="98.239998"/>
    <n v="64622500"/>
    <x v="0"/>
    <x v="1"/>
    <x v="0"/>
  </r>
  <r>
    <d v="2023-02-10T00:00:00"/>
    <n v="97.559997999999993"/>
    <n v="98.82"/>
    <n v="96.230002999999996"/>
    <n v="97.610000999999997"/>
    <n v="97.610000999999997"/>
    <n v="52740100"/>
    <x v="1"/>
    <x v="1"/>
    <x v="0"/>
  </r>
  <r>
    <d v="2023-02-13T00:00:00"/>
    <n v="97.849997999999999"/>
    <n v="99.68"/>
    <n v="96.910004000000001"/>
    <n v="99.540001000000004"/>
    <n v="99.540001000000004"/>
    <n v="52841500"/>
    <x v="4"/>
    <x v="1"/>
    <x v="0"/>
  </r>
  <r>
    <d v="2023-02-14T00:00:00"/>
    <n v="98.410004000000001"/>
    <n v="100.91999800000001"/>
    <n v="97.519997000000004"/>
    <n v="99.699996999999996"/>
    <n v="99.699996999999996"/>
    <n v="56202900"/>
    <x v="2"/>
    <x v="1"/>
    <x v="0"/>
  </r>
  <r>
    <d v="2023-02-15T00:00:00"/>
    <n v="99.089995999999999"/>
    <n v="101.16999800000001"/>
    <n v="98.449996999999996"/>
    <n v="101.160004"/>
    <n v="101.160004"/>
    <n v="47957600"/>
    <x v="3"/>
    <x v="1"/>
    <x v="0"/>
  </r>
  <r>
    <d v="2023-02-16T00:00:00"/>
    <n v="99.209998999999996"/>
    <n v="100.629997"/>
    <n v="98.099997999999999"/>
    <n v="98.150002000000001"/>
    <n v="98.150002000000001"/>
    <n v="56339200"/>
    <x v="0"/>
    <x v="1"/>
    <x v="0"/>
  </r>
  <r>
    <d v="2023-02-17T00:00:00"/>
    <n v="97.800003000000004"/>
    <n v="97.940002000000007"/>
    <n v="95.650002000000001"/>
    <n v="97.199996999999996"/>
    <n v="97.199996999999996"/>
    <n v="60029400"/>
    <x v="1"/>
    <x v="1"/>
    <x v="0"/>
  </r>
  <r>
    <d v="2023-02-21T00:00:00"/>
    <n v="95.339995999999999"/>
    <n v="95.610000999999997"/>
    <n v="94.269997000000004"/>
    <n v="94.580001999999993"/>
    <n v="94.580001999999993"/>
    <n v="56580400"/>
    <x v="2"/>
    <x v="1"/>
    <x v="0"/>
  </r>
  <r>
    <d v="2023-02-22T00:00:00"/>
    <n v="95.099997999999999"/>
    <n v="97.010002"/>
    <n v="94.800003000000004"/>
    <n v="95.790001000000004"/>
    <n v="95.790001000000004"/>
    <n v="59534100"/>
    <x v="3"/>
    <x v="1"/>
    <x v="0"/>
  </r>
  <r>
    <d v="2023-02-23T00:00:00"/>
    <n v="96.120002999999997"/>
    <n v="96.43"/>
    <n v="93.669998000000007"/>
    <n v="95.82"/>
    <n v="95.82"/>
    <n v="48467000"/>
    <x v="0"/>
    <x v="1"/>
    <x v="0"/>
  </r>
  <r>
    <d v="2023-02-24T00:00:00"/>
    <n v="93.529999000000004"/>
    <n v="94.139999000000003"/>
    <n v="92.32"/>
    <n v="93.5"/>
    <n v="93.5"/>
    <n v="57053800"/>
    <x v="1"/>
    <x v="1"/>
    <x v="0"/>
  </r>
  <r>
    <d v="2023-02-27T00:00:00"/>
    <n v="94.279999000000004"/>
    <n v="94.779999000000004"/>
    <n v="93.139999000000003"/>
    <n v="93.760002"/>
    <n v="93.760002"/>
    <n v="47470300"/>
    <x v="4"/>
    <x v="1"/>
    <x v="0"/>
  </r>
  <r>
    <d v="2023-02-28T00:00:00"/>
    <n v="93.139999000000003"/>
    <n v="94.690002000000007"/>
    <n v="92.919998000000007"/>
    <n v="94.230002999999996"/>
    <n v="94.230002999999996"/>
    <n v="43959300"/>
    <x v="2"/>
    <x v="1"/>
    <x v="0"/>
  </r>
  <r>
    <d v="2023-03-01T00:00:00"/>
    <n v="93.870002999999997"/>
    <n v="94.68"/>
    <n v="91.589995999999999"/>
    <n v="92.169998000000007"/>
    <n v="92.169998000000007"/>
    <n v="52299500"/>
    <x v="3"/>
    <x v="2"/>
    <x v="0"/>
  </r>
  <r>
    <d v="2023-03-02T00:00:00"/>
    <n v="91.410004000000001"/>
    <n v="92.230002999999996"/>
    <n v="90.389999000000003"/>
    <n v="92.129997000000003"/>
    <n v="92.129997000000003"/>
    <n v="55509400"/>
    <x v="0"/>
    <x v="2"/>
    <x v="0"/>
  </r>
  <r>
    <d v="2023-03-03T00:00:00"/>
    <n v="92.739998"/>
    <n v="94.940002000000007"/>
    <n v="92.660004000000001"/>
    <n v="94.900002000000001"/>
    <n v="94.900002000000001"/>
    <n v="55759600"/>
    <x v="1"/>
    <x v="2"/>
    <x v="0"/>
  </r>
  <r>
    <d v="2023-03-06T00:00:00"/>
    <n v="95.190002000000007"/>
    <n v="96.550003000000004"/>
    <n v="93.739998"/>
    <n v="93.75"/>
    <n v="93.75"/>
    <n v="52112400"/>
    <x v="4"/>
    <x v="2"/>
    <x v="0"/>
  </r>
  <r>
    <d v="2023-03-07T00:00:00"/>
    <n v="94.059997999999993"/>
    <n v="95.089995999999999"/>
    <n v="92.779999000000004"/>
    <n v="93.550003000000004"/>
    <n v="93.550003000000004"/>
    <n v="49100700"/>
    <x v="2"/>
    <x v="2"/>
    <x v="0"/>
  </r>
  <r>
    <d v="2023-03-08T00:00:00"/>
    <n v="93.599997999999999"/>
    <n v="94.169998000000007"/>
    <n v="92.18"/>
    <n v="93.919998000000007"/>
    <n v="93.919998000000007"/>
    <n v="44899100"/>
    <x v="3"/>
    <x v="2"/>
    <x v="0"/>
  </r>
  <r>
    <d v="2023-03-09T00:00:00"/>
    <n v="93.68"/>
    <n v="96.209998999999996"/>
    <n v="92.18"/>
    <n v="92.25"/>
    <n v="92.25"/>
    <n v="56218700"/>
    <x v="0"/>
    <x v="2"/>
    <x v="0"/>
  </r>
  <r>
    <d v="2023-03-10T00:00:00"/>
    <n v="92.669998000000007"/>
    <n v="93.57"/>
    <n v="90.25"/>
    <n v="90.730002999999996"/>
    <n v="90.730002999999996"/>
    <n v="69827500"/>
    <x v="1"/>
    <x v="2"/>
    <x v="0"/>
  </r>
  <r>
    <d v="2023-03-13T00:00:00"/>
    <n v="89.970000999999996"/>
    <n v="94.019997000000004"/>
    <n v="88.120002999999997"/>
    <n v="92.43"/>
    <n v="92.43"/>
    <n v="72397100"/>
    <x v="4"/>
    <x v="2"/>
    <x v="0"/>
  </r>
  <r>
    <d v="2023-03-14T00:00:00"/>
    <n v="93.830001999999993"/>
    <n v="95.07"/>
    <n v="92.709998999999996"/>
    <n v="94.879997000000003"/>
    <n v="94.879997000000003"/>
    <n v="60912700"/>
    <x v="2"/>
    <x v="2"/>
    <x v="0"/>
  </r>
  <r>
    <d v="2023-03-15T00:00:00"/>
    <n v="93.220000999999996"/>
    <n v="96.669998000000007"/>
    <n v="93.07"/>
    <n v="96.199996999999996"/>
    <n v="96.199996999999996"/>
    <n v="70731800"/>
    <x v="3"/>
    <x v="2"/>
    <x v="0"/>
  </r>
  <r>
    <d v="2023-03-16T00:00:00"/>
    <n v="95.75"/>
    <n v="100.989998"/>
    <n v="95.610000999999997"/>
    <n v="100.040001"/>
    <n v="100.040001"/>
    <n v="84446900"/>
    <x v="0"/>
    <x v="2"/>
    <x v="0"/>
  </r>
  <r>
    <d v="2023-03-17T00:00:00"/>
    <n v="99.790001000000004"/>
    <n v="100.660004"/>
    <n v="97.459998999999996"/>
    <n v="98.949996999999996"/>
    <n v="98.949996999999996"/>
    <n v="87300200"/>
    <x v="1"/>
    <x v="2"/>
    <x v="0"/>
  </r>
  <r>
    <d v="2023-03-20T00:00:00"/>
    <n v="98.410004000000001"/>
    <n v="98.480002999999996"/>
    <n v="95.699996999999996"/>
    <n v="97.709998999999996"/>
    <n v="97.709998999999996"/>
    <n v="62388900"/>
    <x v="4"/>
    <x v="2"/>
    <x v="0"/>
  </r>
  <r>
    <d v="2023-03-21T00:00:00"/>
    <n v="98.139999000000003"/>
    <n v="100.849998"/>
    <n v="98"/>
    <n v="100.610001"/>
    <n v="100.610001"/>
    <n v="58597300"/>
    <x v="2"/>
    <x v="2"/>
    <x v="0"/>
  </r>
  <r>
    <d v="2023-03-22T00:00:00"/>
    <n v="100.449997"/>
    <n v="102.099998"/>
    <n v="98.610000999999997"/>
    <n v="98.699996999999996"/>
    <n v="98.699996999999996"/>
    <n v="57475400"/>
    <x v="3"/>
    <x v="2"/>
    <x v="0"/>
  </r>
  <r>
    <d v="2023-03-23T00:00:00"/>
    <n v="100.43"/>
    <n v="101.05999799999999"/>
    <n v="97.620002999999997"/>
    <n v="98.709998999999996"/>
    <n v="98.709998999999996"/>
    <n v="57559300"/>
    <x v="0"/>
    <x v="2"/>
    <x v="0"/>
  </r>
  <r>
    <d v="2023-03-24T00:00:00"/>
    <n v="98.07"/>
    <n v="98.300003000000004"/>
    <n v="96.400002000000001"/>
    <n v="98.129997000000003"/>
    <n v="98.129997000000003"/>
    <n v="56095400"/>
    <x v="1"/>
    <x v="2"/>
    <x v="0"/>
  </r>
  <r>
    <d v="2023-03-27T00:00:00"/>
    <n v="99.07"/>
    <n v="99.339995999999999"/>
    <n v="97.080001999999993"/>
    <n v="98.040001000000004"/>
    <n v="98.040001000000004"/>
    <n v="46721300"/>
    <x v="4"/>
    <x v="2"/>
    <x v="0"/>
  </r>
  <r>
    <d v="2023-03-28T00:00:00"/>
    <n v="98.110000999999997"/>
    <n v="98.440002000000007"/>
    <n v="96.290001000000004"/>
    <n v="97.239998"/>
    <n v="97.239998"/>
    <n v="38720100"/>
    <x v="2"/>
    <x v="2"/>
    <x v="0"/>
  </r>
  <r>
    <d v="2023-03-29T00:00:00"/>
    <n v="98.690002000000007"/>
    <n v="100.41999800000001"/>
    <n v="98.559997999999993"/>
    <n v="100.25"/>
    <n v="100.25"/>
    <n v="49783300"/>
    <x v="3"/>
    <x v="2"/>
    <x v="0"/>
  </r>
  <r>
    <d v="2023-03-30T00:00:00"/>
    <n v="101.550003"/>
    <n v="103.040001"/>
    <n v="101.010002"/>
    <n v="102"/>
    <n v="102"/>
    <n v="53633400"/>
    <x v="0"/>
    <x v="2"/>
    <x v="0"/>
  </r>
  <r>
    <d v="2023-03-31T00:00:00"/>
    <n v="102.160004"/>
    <n v="103.489998"/>
    <n v="101.949997"/>
    <n v="103.290001"/>
    <n v="103.290001"/>
    <n v="56750300"/>
    <x v="1"/>
    <x v="2"/>
    <x v="0"/>
  </r>
  <r>
    <d v="2023-04-03T00:00:00"/>
    <n v="102.300003"/>
    <n v="103.290001"/>
    <n v="101.43"/>
    <n v="102.410004"/>
    <n v="102.410004"/>
    <n v="41135700"/>
    <x v="4"/>
    <x v="3"/>
    <x v="0"/>
  </r>
  <r>
    <d v="2023-04-04T00:00:00"/>
    <n v="102.75"/>
    <n v="104.199997"/>
    <n v="102.110001"/>
    <n v="103.949997"/>
    <n v="103.949997"/>
    <n v="48662500"/>
    <x v="2"/>
    <x v="3"/>
    <x v="0"/>
  </r>
  <r>
    <d v="2023-04-05T00:00:00"/>
    <n v="103.910004"/>
    <n v="103.910004"/>
    <n v="100.75"/>
    <n v="101.099998"/>
    <n v="101.099998"/>
    <n v="45175400"/>
    <x v="3"/>
    <x v="3"/>
    <x v="0"/>
  </r>
  <r>
    <d v="2023-04-06T00:00:00"/>
    <n v="100.75"/>
    <n v="102.379997"/>
    <n v="99.800003000000004"/>
    <n v="102.05999799999999"/>
    <n v="102.05999799999999"/>
    <n v="43808000"/>
    <x v="0"/>
    <x v="3"/>
    <x v="0"/>
  </r>
  <r>
    <d v="2023-04-10T00:00:00"/>
    <n v="100.959999"/>
    <n v="102.199997"/>
    <n v="99.57"/>
    <n v="102.16999800000001"/>
    <n v="102.16999800000001"/>
    <n v="37261200"/>
    <x v="4"/>
    <x v="3"/>
    <x v="0"/>
  </r>
  <r>
    <d v="2023-04-11T00:00:00"/>
    <n v="100.800003"/>
    <n v="101"/>
    <n v="99.010002"/>
    <n v="99.919998000000007"/>
    <n v="99.919998000000007"/>
    <n v="60417800"/>
    <x v="2"/>
    <x v="3"/>
    <x v="0"/>
  </r>
  <r>
    <d v="2023-04-12T00:00:00"/>
    <n v="100.400002"/>
    <n v="100.510002"/>
    <n v="97.709998999999996"/>
    <n v="97.830001999999993"/>
    <n v="97.830001999999993"/>
    <n v="56735000"/>
    <x v="3"/>
    <x v="3"/>
    <x v="0"/>
  </r>
  <r>
    <d v="2023-04-13T00:00:00"/>
    <n v="98.949996999999996"/>
    <n v="102.57"/>
    <n v="98.709998999999996"/>
    <n v="102.400002"/>
    <n v="102.400002"/>
    <n v="67925100"/>
    <x v="0"/>
    <x v="3"/>
    <x v="0"/>
  </r>
  <r>
    <d v="2023-04-14T00:00:00"/>
    <n v="102.07"/>
    <n v="103.199997"/>
    <n v="101.110001"/>
    <n v="102.510002"/>
    <n v="102.510002"/>
    <n v="51450500"/>
    <x v="1"/>
    <x v="3"/>
    <x v="0"/>
  </r>
  <r>
    <d v="2023-04-17T00:00:00"/>
    <n v="103.160004"/>
    <n v="103.730003"/>
    <n v="101.589996"/>
    <n v="102.739998"/>
    <n v="102.739998"/>
    <n v="39919500"/>
    <x v="4"/>
    <x v="3"/>
    <x v="0"/>
  </r>
  <r>
    <d v="2023-04-18T00:00:00"/>
    <n v="103.949997"/>
    <n v="104.199997"/>
    <n v="101.519997"/>
    <n v="102.300003"/>
    <n v="102.300003"/>
    <n v="39790500"/>
    <x v="2"/>
    <x v="3"/>
    <x v="0"/>
  </r>
  <r>
    <d v="2023-04-19T00:00:00"/>
    <n v="101.58000199999999"/>
    <n v="105.120003"/>
    <n v="101.389999"/>
    <n v="104.300003"/>
    <n v="104.300003"/>
    <n v="58398900"/>
    <x v="3"/>
    <x v="3"/>
    <x v="0"/>
  </r>
  <r>
    <d v="2023-04-20T00:00:00"/>
    <n v="103.529999"/>
    <n v="105.25"/>
    <n v="103.209999"/>
    <n v="103.80999799999999"/>
    <n v="103.80999799999999"/>
    <n v="57696900"/>
    <x v="0"/>
    <x v="3"/>
    <x v="0"/>
  </r>
  <r>
    <d v="2023-04-21T00:00:00"/>
    <n v="106.099998"/>
    <n v="108.150002"/>
    <n v="105.08000199999999"/>
    <n v="106.959999"/>
    <n v="106.959999"/>
    <n v="86774200"/>
    <x v="1"/>
    <x v="3"/>
    <x v="0"/>
  </r>
  <r>
    <d v="2023-04-24T00:00:00"/>
    <n v="107.660004"/>
    <n v="109.230003"/>
    <n v="105.07"/>
    <n v="106.209999"/>
    <n v="106.209999"/>
    <n v="69575600"/>
    <x v="4"/>
    <x v="3"/>
    <x v="0"/>
  </r>
  <r>
    <d v="2023-04-25T00:00:00"/>
    <n v="104.910004"/>
    <n v="105.449997"/>
    <n v="102.449997"/>
    <n v="102.57"/>
    <n v="102.57"/>
    <n v="65026800"/>
    <x v="2"/>
    <x v="3"/>
    <x v="0"/>
  </r>
  <r>
    <d v="2023-04-26T00:00:00"/>
    <n v="105.040001"/>
    <n v="106.620003"/>
    <n v="104.099998"/>
    <n v="104.980003"/>
    <n v="104.980003"/>
    <n v="73803800"/>
    <x v="3"/>
    <x v="3"/>
    <x v="0"/>
  </r>
  <r>
    <d v="2023-04-27T00:00:00"/>
    <n v="108.160004"/>
    <n v="110.860001"/>
    <n v="106.800003"/>
    <n v="109.82"/>
    <n v="109.82"/>
    <n v="149961200"/>
    <x v="0"/>
    <x v="3"/>
    <x v="0"/>
  </r>
  <r>
    <d v="2023-04-28T00:00:00"/>
    <n v="107.730003"/>
    <n v="109.480003"/>
    <n v="104.33000199999999"/>
    <n v="105.449997"/>
    <n v="105.449997"/>
    <n v="130565000"/>
    <x v="1"/>
    <x v="3"/>
    <x v="0"/>
  </r>
  <r>
    <d v="2023-05-01T00:00:00"/>
    <n v="104.949997"/>
    <n v="105.230003"/>
    <n v="101.82"/>
    <n v="102.050003"/>
    <n v="102.050003"/>
    <n v="74728100"/>
    <x v="4"/>
    <x v="4"/>
    <x v="0"/>
  </r>
  <r>
    <d v="2023-05-02T00:00:00"/>
    <n v="101.470001"/>
    <n v="103.900002"/>
    <n v="101.150002"/>
    <n v="103.629997"/>
    <n v="103.629997"/>
    <n v="73469400"/>
    <x v="2"/>
    <x v="4"/>
    <x v="0"/>
  </r>
  <r>
    <d v="2023-05-03T00:00:00"/>
    <n v="103.739998"/>
    <n v="105.959999"/>
    <n v="103.279999"/>
    <n v="103.650002"/>
    <n v="103.650002"/>
    <n v="65051900"/>
    <x v="3"/>
    <x v="4"/>
    <x v="0"/>
  </r>
  <r>
    <d v="2023-05-04T00:00:00"/>
    <n v="104.040001"/>
    <n v="105.389999"/>
    <n v="103.30999799999999"/>
    <n v="104"/>
    <n v="104"/>
    <n v="45345500"/>
    <x v="0"/>
    <x v="4"/>
    <x v="0"/>
  </r>
  <r>
    <d v="2023-05-05T00:00:00"/>
    <n v="104.269997"/>
    <n v="105.760002"/>
    <n v="103.550003"/>
    <n v="105.660004"/>
    <n v="105.660004"/>
    <n v="56912900"/>
    <x v="1"/>
    <x v="4"/>
    <x v="0"/>
  </r>
  <r>
    <d v="2023-05-08T00:00:00"/>
    <n v="105.040001"/>
    <n v="106.099998"/>
    <n v="104.699997"/>
    <n v="105.83000199999999"/>
    <n v="105.83000199999999"/>
    <n v="49430900"/>
    <x v="4"/>
    <x v="4"/>
    <x v="0"/>
  </r>
  <r>
    <d v="2023-05-09T00:00:00"/>
    <n v="105.480003"/>
    <n v="106.790001"/>
    <n v="105.160004"/>
    <n v="106.620003"/>
    <n v="106.620003"/>
    <n v="44089400"/>
    <x v="2"/>
    <x v="4"/>
    <x v="0"/>
  </r>
  <r>
    <d v="2023-05-10T00:00:00"/>
    <n v="108.099998"/>
    <n v="110.66999800000001"/>
    <n v="108.050003"/>
    <n v="110.19000200000001"/>
    <n v="110.19000200000001"/>
    <n v="78627600"/>
    <x v="3"/>
    <x v="4"/>
    <x v="0"/>
  </r>
  <r>
    <d v="2023-05-11T00:00:00"/>
    <n v="111.029999"/>
    <n v="113.279999"/>
    <n v="110.489998"/>
    <n v="112.18"/>
    <n v="112.18"/>
    <n v="74924800"/>
    <x v="0"/>
    <x v="4"/>
    <x v="0"/>
  </r>
  <r>
    <d v="2023-05-12T00:00:00"/>
    <n v="112.160004"/>
    <n v="112.639999"/>
    <n v="109.32"/>
    <n v="110.260002"/>
    <n v="110.260002"/>
    <n v="49810100"/>
    <x v="1"/>
    <x v="4"/>
    <x v="0"/>
  </r>
  <r>
    <d v="2023-05-15T00:00:00"/>
    <n v="111.150002"/>
    <n v="112.290001"/>
    <n v="109.25"/>
    <n v="111.199997"/>
    <n v="111.199997"/>
    <n v="53011100"/>
    <x v="4"/>
    <x v="4"/>
    <x v="0"/>
  </r>
  <r>
    <d v="2023-05-16T00:00:00"/>
    <n v="111.050003"/>
    <n v="114.790001"/>
    <n v="111.050003"/>
    <n v="113.400002"/>
    <n v="113.400002"/>
    <n v="71472900"/>
    <x v="2"/>
    <x v="4"/>
    <x v="0"/>
  </r>
  <r>
    <d v="2023-05-17T00:00:00"/>
    <n v="114.889999"/>
    <n v="115.83000199999999"/>
    <n v="114.220001"/>
    <n v="115.5"/>
    <n v="115.5"/>
    <n v="65655200"/>
    <x v="3"/>
    <x v="4"/>
    <x v="0"/>
  </r>
  <r>
    <d v="2023-05-18T00:00:00"/>
    <n v="116.69000200000001"/>
    <n v="118.599998"/>
    <n v="116.339996"/>
    <n v="118.150002"/>
    <n v="118.150002"/>
    <n v="73174100"/>
    <x v="0"/>
    <x v="4"/>
    <x v="0"/>
  </r>
  <r>
    <d v="2023-05-19T00:00:00"/>
    <n v="118.160004"/>
    <n v="118.30999799999999"/>
    <n v="115.699997"/>
    <n v="116.25"/>
    <n v="116.25"/>
    <n v="54990200"/>
    <x v="1"/>
    <x v="4"/>
    <x v="0"/>
  </r>
  <r>
    <d v="2023-05-22T00:00:00"/>
    <n v="116.769997"/>
    <n v="116.769997"/>
    <n v="114.25"/>
    <n v="115.010002"/>
    <n v="115.010002"/>
    <n v="70741100"/>
    <x v="4"/>
    <x v="4"/>
    <x v="0"/>
  </r>
  <r>
    <d v="2023-05-23T00:00:00"/>
    <n v="114.269997"/>
    <n v="117.139999"/>
    <n v="113.779999"/>
    <n v="114.989998"/>
    <n v="114.989998"/>
    <n v="67576300"/>
    <x v="2"/>
    <x v="4"/>
    <x v="0"/>
  </r>
  <r>
    <d v="2023-05-24T00:00:00"/>
    <n v="115.349998"/>
    <n v="117.339996"/>
    <n v="115.019997"/>
    <n v="116.75"/>
    <n v="116.75"/>
    <n v="63487900"/>
    <x v="3"/>
    <x v="4"/>
    <x v="0"/>
  </r>
  <r>
    <d v="2023-05-25T00:00:00"/>
    <n v="116.629997"/>
    <n v="116.870003"/>
    <n v="114.30999799999999"/>
    <n v="115"/>
    <n v="115"/>
    <n v="66496700"/>
    <x v="0"/>
    <x v="4"/>
    <x v="0"/>
  </r>
  <r>
    <d v="2023-05-26T00:00:00"/>
    <n v="116.040001"/>
    <n v="121.5"/>
    <n v="116.019997"/>
    <n v="120.110001"/>
    <n v="120.110001"/>
    <n v="96779900"/>
    <x v="1"/>
    <x v="4"/>
    <x v="0"/>
  </r>
  <r>
    <d v="2023-05-30T00:00:00"/>
    <n v="122.370003"/>
    <n v="122.91999800000001"/>
    <n v="119.860001"/>
    <n v="121.660004"/>
    <n v="121.660004"/>
    <n v="64314800"/>
    <x v="2"/>
    <x v="4"/>
    <x v="0"/>
  </r>
  <r>
    <d v="2023-05-31T00:00:00"/>
    <n v="121.449997"/>
    <n v="122.040001"/>
    <n v="119.16999800000001"/>
    <n v="120.58000199999999"/>
    <n v="120.58000199999999"/>
    <n v="72800800"/>
    <x v="3"/>
    <x v="4"/>
    <x v="0"/>
  </r>
  <r>
    <d v="2023-06-01T00:00:00"/>
    <n v="120.69000200000001"/>
    <n v="123.489998"/>
    <n v="119.93"/>
    <n v="122.769997"/>
    <n v="122.769997"/>
    <n v="54375100"/>
    <x v="0"/>
    <x v="5"/>
    <x v="0"/>
  </r>
  <r>
    <d v="2023-06-02T00:00:00"/>
    <n v="124.91999800000001"/>
    <n v="126.389999"/>
    <n v="124.019997"/>
    <n v="124.25"/>
    <n v="124.25"/>
    <n v="61215000"/>
    <x v="1"/>
    <x v="5"/>
    <x v="0"/>
  </r>
  <r>
    <d v="2023-06-05T00:00:00"/>
    <n v="123.360001"/>
    <n v="125.800003"/>
    <n v="123.029999"/>
    <n v="125.300003"/>
    <n v="125.300003"/>
    <n v="47950100"/>
    <x v="4"/>
    <x v="5"/>
    <x v="0"/>
  </r>
  <r>
    <d v="2023-06-06T00:00:00"/>
    <n v="125.07"/>
    <n v="127.400002"/>
    <n v="125"/>
    <n v="126.610001"/>
    <n v="126.610001"/>
    <n v="45695200"/>
    <x v="2"/>
    <x v="5"/>
    <x v="0"/>
  </r>
  <r>
    <d v="2023-06-07T00:00:00"/>
    <n v="127.010002"/>
    <n v="127.370003"/>
    <n v="120.629997"/>
    <n v="121.230003"/>
    <n v="121.230003"/>
    <n v="95663300"/>
    <x v="3"/>
    <x v="5"/>
    <x v="0"/>
  </r>
  <r>
    <d v="2023-06-08T00:00:00"/>
    <n v="123.010002"/>
    <n v="125.629997"/>
    <n v="122.260002"/>
    <n v="124.25"/>
    <n v="124.25"/>
    <n v="62159300"/>
    <x v="0"/>
    <x v="5"/>
    <x v="0"/>
  </r>
  <r>
    <d v="2023-06-09T00:00:00"/>
    <n v="124.08000199999999"/>
    <n v="125.800003"/>
    <n v="123.19000200000001"/>
    <n v="123.43"/>
    <n v="123.43"/>
    <n v="51330000"/>
    <x v="1"/>
    <x v="5"/>
    <x v="0"/>
  </r>
  <r>
    <d v="2023-06-12T00:00:00"/>
    <n v="124.019997"/>
    <n v="126.779999"/>
    <n v="123.529999"/>
    <n v="126.57"/>
    <n v="126.57"/>
    <n v="51338000"/>
    <x v="4"/>
    <x v="5"/>
    <x v="0"/>
  </r>
  <r>
    <d v="2023-06-13T00:00:00"/>
    <n v="128.11999499999999"/>
    <n v="128.41000399999999"/>
    <n v="125.18"/>
    <n v="126.660004"/>
    <n v="126.660004"/>
    <n v="50564800"/>
    <x v="2"/>
    <x v="5"/>
    <x v="0"/>
  </r>
  <r>
    <d v="2023-06-14T00:00:00"/>
    <n v="126.699997"/>
    <n v="126.949997"/>
    <n v="124.120003"/>
    <n v="126.41999800000001"/>
    <n v="126.41999800000001"/>
    <n v="52422500"/>
    <x v="3"/>
    <x v="5"/>
    <x v="0"/>
  </r>
  <r>
    <d v="2023-06-15T00:00:00"/>
    <n v="125.209999"/>
    <n v="127.69000200000001"/>
    <n v="124.32"/>
    <n v="127.110001"/>
    <n v="127.110001"/>
    <n v="60458500"/>
    <x v="0"/>
    <x v="5"/>
    <x v="0"/>
  </r>
  <r>
    <d v="2023-06-16T00:00:00"/>
    <n v="127.709999"/>
    <n v="127.900002"/>
    <n v="125.300003"/>
    <n v="125.489998"/>
    <n v="125.489998"/>
    <n v="84188100"/>
    <x v="1"/>
    <x v="5"/>
    <x v="0"/>
  </r>
  <r>
    <d v="2023-06-20T00:00:00"/>
    <n v="124.970001"/>
    <n v="127.25"/>
    <n v="124.5"/>
    <n v="125.779999"/>
    <n v="125.779999"/>
    <n v="56930100"/>
    <x v="2"/>
    <x v="5"/>
    <x v="0"/>
  </r>
  <r>
    <d v="2023-06-21T00:00:00"/>
    <n v="125.639999"/>
    <n v="126.730003"/>
    <n v="123.849998"/>
    <n v="124.83000199999999"/>
    <n v="124.83000199999999"/>
    <n v="52137700"/>
    <x v="3"/>
    <x v="5"/>
    <x v="0"/>
  </r>
  <r>
    <d v="2023-06-22T00:00:00"/>
    <n v="125.30999799999999"/>
    <n v="130.33000200000001"/>
    <n v="125.139999"/>
    <n v="130.14999399999999"/>
    <n v="130.14999399999999"/>
    <n v="90354600"/>
    <x v="0"/>
    <x v="5"/>
    <x v="0"/>
  </r>
  <r>
    <d v="2023-06-23T00:00:00"/>
    <n v="129.11000100000001"/>
    <n v="130.83999600000001"/>
    <n v="128.279999"/>
    <n v="129.33000200000001"/>
    <n v="129.33000200000001"/>
    <n v="71855200"/>
    <x v="1"/>
    <x v="5"/>
    <x v="0"/>
  </r>
  <r>
    <d v="2023-06-26T00:00:00"/>
    <n v="129.33000200000001"/>
    <n v="131.490005"/>
    <n v="127.099998"/>
    <n v="127.33000199999999"/>
    <n v="127.33000199999999"/>
    <n v="59989300"/>
    <x v="4"/>
    <x v="5"/>
    <x v="0"/>
  </r>
  <r>
    <d v="2023-06-27T00:00:00"/>
    <n v="128.63000500000001"/>
    <n v="130.08999600000001"/>
    <n v="127.550003"/>
    <n v="129.179993"/>
    <n v="129.179993"/>
    <n v="46801000"/>
    <x v="2"/>
    <x v="5"/>
    <x v="0"/>
  </r>
  <r>
    <d v="2023-06-28T00:00:00"/>
    <n v="128.94000199999999"/>
    <n v="131.479996"/>
    <n v="128.44000199999999"/>
    <n v="129.03999300000001"/>
    <n v="129.03999300000001"/>
    <n v="52149500"/>
    <x v="3"/>
    <x v="5"/>
    <x v="0"/>
  </r>
  <r>
    <d v="2023-06-29T00:00:00"/>
    <n v="128.770004"/>
    <n v="129.259995"/>
    <n v="127.260002"/>
    <n v="127.900002"/>
    <n v="127.900002"/>
    <n v="40761000"/>
    <x v="0"/>
    <x v="5"/>
    <x v="0"/>
  </r>
  <r>
    <d v="2023-06-30T00:00:00"/>
    <n v="129.470001"/>
    <n v="131.25"/>
    <n v="128.949997"/>
    <n v="130.36000100000001"/>
    <n v="130.36000100000001"/>
    <n v="54310500"/>
    <x v="1"/>
    <x v="5"/>
    <x v="0"/>
  </r>
  <r>
    <d v="2023-07-03T00:00:00"/>
    <n v="130.820007"/>
    <n v="131.85000600000001"/>
    <n v="130.070007"/>
    <n v="130.220001"/>
    <n v="130.220001"/>
    <n v="28264800"/>
    <x v="4"/>
    <x v="6"/>
    <x v="0"/>
  </r>
  <r>
    <d v="2023-07-05T00:00:00"/>
    <n v="130.240005"/>
    <n v="131.39999399999999"/>
    <n v="129.63999899999999"/>
    <n v="130.38000500000001"/>
    <n v="130.38000500000001"/>
    <n v="35895400"/>
    <x v="3"/>
    <x v="6"/>
    <x v="0"/>
  </r>
  <r>
    <d v="2023-07-06T00:00:00"/>
    <n v="128.25"/>
    <n v="128.729996"/>
    <n v="127.370003"/>
    <n v="128.36000100000001"/>
    <n v="128.36000100000001"/>
    <n v="40639900"/>
    <x v="0"/>
    <x v="6"/>
    <x v="0"/>
  </r>
  <r>
    <d v="2023-07-07T00:00:00"/>
    <n v="128.58999600000001"/>
    <n v="130.970001"/>
    <n v="128.13000500000001"/>
    <n v="129.779999"/>
    <n v="129.779999"/>
    <n v="41928700"/>
    <x v="1"/>
    <x v="6"/>
    <x v="0"/>
  </r>
  <r>
    <d v="2023-07-10T00:00:00"/>
    <n v="129.070007"/>
    <n v="129.279999"/>
    <n v="125.91999800000001"/>
    <n v="127.129997"/>
    <n v="127.129997"/>
    <n v="61889300"/>
    <x v="4"/>
    <x v="6"/>
    <x v="0"/>
  </r>
  <r>
    <d v="2023-07-11T00:00:00"/>
    <n v="127.75"/>
    <n v="129.770004"/>
    <n v="127.349998"/>
    <n v="128.779999"/>
    <n v="128.779999"/>
    <n v="49951500"/>
    <x v="2"/>
    <x v="6"/>
    <x v="0"/>
  </r>
  <r>
    <d v="2023-07-12T00:00:00"/>
    <n v="130.30999800000001"/>
    <n v="131.259995"/>
    <n v="128.83000200000001"/>
    <n v="130.800003"/>
    <n v="130.800003"/>
    <n v="54022800"/>
    <x v="3"/>
    <x v="6"/>
    <x v="0"/>
  </r>
  <r>
    <d v="2023-07-13T00:00:00"/>
    <n v="134.03999300000001"/>
    <n v="134.66999799999999"/>
    <n v="132.71000699999999"/>
    <n v="134.300003"/>
    <n v="134.300003"/>
    <n v="61170900"/>
    <x v="0"/>
    <x v="6"/>
    <x v="0"/>
  </r>
  <r>
    <d v="2023-07-14T00:00:00"/>
    <n v="134.05999800000001"/>
    <n v="136.64999399999999"/>
    <n v="134.05999800000001"/>
    <n v="134.679993"/>
    <n v="134.679993"/>
    <n v="54388100"/>
    <x v="1"/>
    <x v="6"/>
    <x v="0"/>
  </r>
  <r>
    <d v="2023-07-17T00:00:00"/>
    <n v="134.55999800000001"/>
    <n v="135.61999499999999"/>
    <n v="133.21000699999999"/>
    <n v="133.55999800000001"/>
    <n v="133.55999800000001"/>
    <n v="48450200"/>
    <x v="4"/>
    <x v="6"/>
    <x v="0"/>
  </r>
  <r>
    <d v="2023-07-18T00:00:00"/>
    <n v="132.71000699999999"/>
    <n v="133.86000100000001"/>
    <n v="131.35000600000001"/>
    <n v="132.83000200000001"/>
    <n v="132.83000200000001"/>
    <n v="54969100"/>
    <x v="2"/>
    <x v="6"/>
    <x v="0"/>
  </r>
  <r>
    <d v="2023-07-19T00:00:00"/>
    <n v="133.38999899999999"/>
    <n v="135.990005"/>
    <n v="132.529999"/>
    <n v="135.36000100000001"/>
    <n v="135.36000100000001"/>
    <n v="54531000"/>
    <x v="3"/>
    <x v="6"/>
    <x v="0"/>
  </r>
  <r>
    <d v="2023-07-20T00:00:00"/>
    <n v="134.070007"/>
    <n v="134.78999300000001"/>
    <n v="129.33000200000001"/>
    <n v="129.96000699999999"/>
    <n v="129.96000699999999"/>
    <n v="59820600"/>
    <x v="0"/>
    <x v="6"/>
    <x v="0"/>
  </r>
  <r>
    <d v="2023-07-21T00:00:00"/>
    <n v="131.33999600000001"/>
    <n v="131.36999499999999"/>
    <n v="128.41999799999999"/>
    <n v="130"/>
    <n v="130"/>
    <n v="133265000"/>
    <x v="1"/>
    <x v="6"/>
    <x v="0"/>
  </r>
  <r>
    <d v="2023-07-24T00:00:00"/>
    <n v="130.30999800000001"/>
    <n v="131.66000399999999"/>
    <n v="128.35000600000001"/>
    <n v="128.800003"/>
    <n v="128.800003"/>
    <n v="45591100"/>
    <x v="4"/>
    <x v="6"/>
    <x v="0"/>
  </r>
  <r>
    <d v="2023-07-25T00:00:00"/>
    <n v="129.30999800000001"/>
    <n v="129.58000200000001"/>
    <n v="128.529999"/>
    <n v="129.13000500000001"/>
    <n v="129.13000500000001"/>
    <n v="39236700"/>
    <x v="2"/>
    <x v="6"/>
    <x v="0"/>
  </r>
  <r>
    <d v="2023-07-26T00:00:00"/>
    <n v="126.510002"/>
    <n v="129.08000200000001"/>
    <n v="126.110001"/>
    <n v="128.14999399999999"/>
    <n v="128.14999399999999"/>
    <n v="53910100"/>
    <x v="3"/>
    <x v="6"/>
    <x v="0"/>
  </r>
  <r>
    <d v="2023-07-27T00:00:00"/>
    <n v="131"/>
    <n v="132.63000500000001"/>
    <n v="127.790001"/>
    <n v="128.25"/>
    <n v="128.25"/>
    <n v="52610700"/>
    <x v="0"/>
    <x v="6"/>
    <x v="0"/>
  </r>
  <r>
    <d v="2023-07-28T00:00:00"/>
    <n v="129.69000199999999"/>
    <n v="133.009995"/>
    <n v="129.33000200000001"/>
    <n v="132.21000699999999"/>
    <n v="132.21000699999999"/>
    <n v="46317400"/>
    <x v="1"/>
    <x v="6"/>
    <x v="0"/>
  </r>
  <r>
    <d v="2023-07-31T00:00:00"/>
    <n v="133.199997"/>
    <n v="133.86999499999999"/>
    <n v="132.38000500000001"/>
    <n v="133.679993"/>
    <n v="133.679993"/>
    <n v="41901500"/>
    <x v="4"/>
    <x v="6"/>
    <x v="0"/>
  </r>
  <r>
    <d v="2023-08-01T00:00:00"/>
    <n v="133.550003"/>
    <n v="133.69000199999999"/>
    <n v="131.61999499999999"/>
    <n v="131.69000199999999"/>
    <n v="131.69000199999999"/>
    <n v="42098500"/>
    <x v="2"/>
    <x v="7"/>
    <x v="0"/>
  </r>
  <r>
    <d v="2023-08-02T00:00:00"/>
    <n v="130.14999399999999"/>
    <n v="130.229996"/>
    <n v="126.82"/>
    <n v="128.21000699999999"/>
    <n v="128.21000699999999"/>
    <n v="51027600"/>
    <x v="3"/>
    <x v="7"/>
    <x v="0"/>
  </r>
  <r>
    <d v="2023-08-03T00:00:00"/>
    <n v="127.480003"/>
    <n v="129.83999600000001"/>
    <n v="126.410004"/>
    <n v="128.91000399999999"/>
    <n v="128.91000399999999"/>
    <n v="88585200"/>
    <x v="0"/>
    <x v="7"/>
    <x v="0"/>
  </r>
  <r>
    <d v="2023-08-04T00:00:00"/>
    <n v="141.05999800000001"/>
    <n v="143.63000500000001"/>
    <n v="139.320007"/>
    <n v="139.570007"/>
    <n v="139.570007"/>
    <n v="152938700"/>
    <x v="1"/>
    <x v="7"/>
    <x v="0"/>
  </r>
  <r>
    <d v="2023-08-07T00:00:00"/>
    <n v="140.990005"/>
    <n v="142.53999300000001"/>
    <n v="138.949997"/>
    <n v="142.220001"/>
    <n v="142.220001"/>
    <n v="71213100"/>
    <x v="4"/>
    <x v="7"/>
    <x v="0"/>
  </r>
  <r>
    <d v="2023-08-08T00:00:00"/>
    <n v="140.61999499999999"/>
    <n v="140.83999600000001"/>
    <n v="138.41999799999999"/>
    <n v="139.94000199999999"/>
    <n v="139.94000199999999"/>
    <n v="51710500"/>
    <x v="2"/>
    <x v="7"/>
    <x v="0"/>
  </r>
  <r>
    <d v="2023-08-09T00:00:00"/>
    <n v="139.970001"/>
    <n v="140.320007"/>
    <n v="137.10000600000001"/>
    <n v="137.85000600000001"/>
    <n v="137.85000600000001"/>
    <n v="50017300"/>
    <x v="3"/>
    <x v="7"/>
    <x v="0"/>
  </r>
  <r>
    <d v="2023-08-10T00:00:00"/>
    <n v="139.070007"/>
    <n v="140.41000399999999"/>
    <n v="137.490005"/>
    <n v="138.55999800000001"/>
    <n v="138.55999800000001"/>
    <n v="58928400"/>
    <x v="0"/>
    <x v="7"/>
    <x v="0"/>
  </r>
  <r>
    <d v="2023-08-11T00:00:00"/>
    <n v="137.39999399999999"/>
    <n v="139.33000200000001"/>
    <n v="137"/>
    <n v="138.41000399999999"/>
    <n v="138.41000399999999"/>
    <n v="42832100"/>
    <x v="1"/>
    <x v="7"/>
    <x v="0"/>
  </r>
  <r>
    <d v="2023-08-14T00:00:00"/>
    <n v="138.300003"/>
    <n v="140.58999600000001"/>
    <n v="137.75"/>
    <n v="140.570007"/>
    <n v="140.570007"/>
    <n v="47148700"/>
    <x v="4"/>
    <x v="7"/>
    <x v="0"/>
  </r>
  <r>
    <d v="2023-08-15T00:00:00"/>
    <n v="140.050003"/>
    <n v="141.279999"/>
    <n v="137.229996"/>
    <n v="137.66999799999999"/>
    <n v="137.66999799999999"/>
    <n v="42781500"/>
    <x v="2"/>
    <x v="7"/>
    <x v="0"/>
  </r>
  <r>
    <d v="2023-08-16T00:00:00"/>
    <n v="137.19000199999999"/>
    <n v="137.270004"/>
    <n v="135.009995"/>
    <n v="135.070007"/>
    <n v="135.070007"/>
    <n v="41675900"/>
    <x v="3"/>
    <x v="7"/>
    <x v="0"/>
  </r>
  <r>
    <d v="2023-08-17T00:00:00"/>
    <n v="135.46000699999999"/>
    <n v="136.08999600000001"/>
    <n v="133.529999"/>
    <n v="133.979996"/>
    <n v="133.979996"/>
    <n v="48354100"/>
    <x v="0"/>
    <x v="7"/>
    <x v="0"/>
  </r>
  <r>
    <d v="2023-08-18T00:00:00"/>
    <n v="131.61999499999999"/>
    <n v="134.070007"/>
    <n v="131.14999399999999"/>
    <n v="133.220001"/>
    <n v="133.220001"/>
    <n v="48469400"/>
    <x v="1"/>
    <x v="7"/>
    <x v="0"/>
  </r>
  <r>
    <d v="2023-08-21T00:00:00"/>
    <n v="133.740005"/>
    <n v="135.19000199999999"/>
    <n v="132.71000699999999"/>
    <n v="134.679993"/>
    <n v="134.679993"/>
    <n v="41442500"/>
    <x v="4"/>
    <x v="7"/>
    <x v="0"/>
  </r>
  <r>
    <d v="2023-08-22T00:00:00"/>
    <n v="135.08000200000001"/>
    <n v="135.64999399999999"/>
    <n v="133.729996"/>
    <n v="134.25"/>
    <n v="134.25"/>
    <n v="32935100"/>
    <x v="2"/>
    <x v="7"/>
    <x v="0"/>
  </r>
  <r>
    <d v="2023-08-23T00:00:00"/>
    <n v="134.5"/>
    <n v="135.949997"/>
    <n v="133.220001"/>
    <n v="135.520004"/>
    <n v="135.520004"/>
    <n v="42801000"/>
    <x v="3"/>
    <x v="7"/>
    <x v="0"/>
  </r>
  <r>
    <d v="2023-08-24T00:00:00"/>
    <n v="136.39999399999999"/>
    <n v="136.779999"/>
    <n v="131.83000200000001"/>
    <n v="131.83999600000001"/>
    <n v="131.83999600000001"/>
    <n v="43646300"/>
    <x v="0"/>
    <x v="7"/>
    <x v="0"/>
  </r>
  <r>
    <d v="2023-08-25T00:00:00"/>
    <n v="132.470001"/>
    <n v="133.86999499999999"/>
    <n v="130.58000200000001"/>
    <n v="133.259995"/>
    <n v="133.259995"/>
    <n v="44147500"/>
    <x v="1"/>
    <x v="7"/>
    <x v="0"/>
  </r>
  <r>
    <d v="2023-08-28T00:00:00"/>
    <n v="133.779999"/>
    <n v="133.949997"/>
    <n v="131.85000600000001"/>
    <n v="133.13999899999999"/>
    <n v="133.13999899999999"/>
    <n v="34108400"/>
    <x v="4"/>
    <x v="7"/>
    <x v="0"/>
  </r>
  <r>
    <d v="2023-08-29T00:00:00"/>
    <n v="133.38000500000001"/>
    <n v="135.13999899999999"/>
    <n v="133.25"/>
    <n v="134.91000399999999"/>
    <n v="134.91000399999999"/>
    <n v="38646100"/>
    <x v="2"/>
    <x v="7"/>
    <x v="0"/>
  </r>
  <r>
    <d v="2023-08-30T00:00:00"/>
    <n v="134.929993"/>
    <n v="135.679993"/>
    <n v="133.91999799999999"/>
    <n v="135.070007"/>
    <n v="135.070007"/>
    <n v="36137000"/>
    <x v="3"/>
    <x v="7"/>
    <x v="0"/>
  </r>
  <r>
    <d v="2023-08-31T00:00:00"/>
    <n v="135.05999800000001"/>
    <n v="138.78999300000001"/>
    <n v="135"/>
    <n v="138.009995"/>
    <n v="138.009995"/>
    <n v="58781300"/>
    <x v="0"/>
    <x v="7"/>
    <x v="0"/>
  </r>
  <r>
    <d v="2023-09-01T00:00:00"/>
    <n v="139.46000699999999"/>
    <n v="139.96000699999999"/>
    <n v="136.88000500000001"/>
    <n v="138.11999499999999"/>
    <n v="138.11999499999999"/>
    <n v="40948300"/>
    <x v="1"/>
    <x v="8"/>
    <x v="0"/>
  </r>
  <r>
    <d v="2023-09-05T00:00:00"/>
    <n v="137.729996"/>
    <n v="137.800003"/>
    <n v="135.820007"/>
    <n v="137.270004"/>
    <n v="137.270004"/>
    <n v="40636700"/>
    <x v="2"/>
    <x v="8"/>
    <x v="0"/>
  </r>
  <r>
    <d v="2023-09-06T00:00:00"/>
    <n v="136.320007"/>
    <n v="137.449997"/>
    <n v="134.61000100000001"/>
    <n v="135.36000100000001"/>
    <n v="135.36000100000001"/>
    <n v="41785500"/>
    <x v="3"/>
    <x v="8"/>
    <x v="0"/>
  </r>
  <r>
    <d v="2023-09-07T00:00:00"/>
    <n v="133.89999399999999"/>
    <n v="138.029999"/>
    <n v="133.16000399999999"/>
    <n v="137.85000600000001"/>
    <n v="137.85000600000001"/>
    <n v="48498900"/>
    <x v="0"/>
    <x v="8"/>
    <x v="0"/>
  </r>
  <r>
    <d v="2023-09-08T00:00:00"/>
    <n v="136.86000100000001"/>
    <n v="138.85000600000001"/>
    <n v="136.75"/>
    <n v="138.229996"/>
    <n v="138.229996"/>
    <n v="38348200"/>
    <x v="1"/>
    <x v="8"/>
    <x v="0"/>
  </r>
  <r>
    <d v="2023-09-11T00:00:00"/>
    <n v="138.75"/>
    <n v="143.61999499999999"/>
    <n v="138.63999899999999"/>
    <n v="143.10000600000001"/>
    <n v="143.10000600000001"/>
    <n v="56764500"/>
    <x v="4"/>
    <x v="8"/>
    <x v="0"/>
  </r>
  <r>
    <d v="2023-09-12T00:00:00"/>
    <n v="142.320007"/>
    <n v="143"/>
    <n v="140.61000100000001"/>
    <n v="141.229996"/>
    <n v="141.229996"/>
    <n v="42668500"/>
    <x v="2"/>
    <x v="8"/>
    <x v="0"/>
  </r>
  <r>
    <d v="2023-09-13T00:00:00"/>
    <n v="140.949997"/>
    <n v="144.979996"/>
    <n v="140.86999499999999"/>
    <n v="144.85000600000001"/>
    <n v="144.85000600000001"/>
    <n v="60465200"/>
    <x v="3"/>
    <x v="8"/>
    <x v="0"/>
  </r>
  <r>
    <d v="2023-09-14T00:00:00"/>
    <n v="145.08000200000001"/>
    <n v="145.86000100000001"/>
    <n v="142.949997"/>
    <n v="144.720001"/>
    <n v="144.720001"/>
    <n v="64033600"/>
    <x v="0"/>
    <x v="8"/>
    <x v="0"/>
  </r>
  <r>
    <d v="2023-09-15T00:00:00"/>
    <n v="142.69000199999999"/>
    <n v="143.570007"/>
    <n v="140.08999600000001"/>
    <n v="140.38999899999999"/>
    <n v="140.38999899999999"/>
    <n v="102861700"/>
    <x v="1"/>
    <x v="8"/>
    <x v="0"/>
  </r>
  <r>
    <d v="2023-09-18T00:00:00"/>
    <n v="140.479996"/>
    <n v="141.75"/>
    <n v="139.220001"/>
    <n v="139.979996"/>
    <n v="139.979996"/>
    <n v="42823500"/>
    <x v="4"/>
    <x v="8"/>
    <x v="0"/>
  </r>
  <r>
    <d v="2023-09-19T00:00:00"/>
    <n v="138.699997"/>
    <n v="138.83999600000001"/>
    <n v="135.55999800000001"/>
    <n v="137.63000500000001"/>
    <n v="137.63000500000001"/>
    <n v="61482500"/>
    <x v="2"/>
    <x v="8"/>
    <x v="0"/>
  </r>
  <r>
    <d v="2023-09-20T00:00:00"/>
    <n v="138.550003"/>
    <n v="139.36999499999999"/>
    <n v="135.199997"/>
    <n v="135.28999300000001"/>
    <n v="135.28999300000001"/>
    <n v="46263700"/>
    <x v="3"/>
    <x v="8"/>
    <x v="0"/>
  </r>
  <r>
    <d v="2023-09-21T00:00:00"/>
    <n v="131.94000199999999"/>
    <n v="132.240005"/>
    <n v="129.30999800000001"/>
    <n v="129.33000200000001"/>
    <n v="129.33000200000001"/>
    <n v="70234800"/>
    <x v="0"/>
    <x v="8"/>
    <x v="0"/>
  </r>
  <r>
    <d v="2023-09-22T00:00:00"/>
    <n v="131.11000100000001"/>
    <n v="132.029999"/>
    <n v="128.520004"/>
    <n v="129.11999499999999"/>
    <n v="129.11999499999999"/>
    <n v="59904300"/>
    <x v="1"/>
    <x v="8"/>
    <x v="0"/>
  </r>
  <r>
    <d v="2023-09-25T00:00:00"/>
    <n v="129.36000100000001"/>
    <n v="131.779999"/>
    <n v="128.770004"/>
    <n v="131.270004"/>
    <n v="131.270004"/>
    <n v="46017800"/>
    <x v="4"/>
    <x v="8"/>
    <x v="0"/>
  </r>
  <r>
    <d v="2023-09-26T00:00:00"/>
    <n v="130.11999499999999"/>
    <n v="130.38999899999999"/>
    <n v="125.279999"/>
    <n v="125.980003"/>
    <n v="125.980003"/>
    <n v="73048200"/>
    <x v="2"/>
    <x v="8"/>
    <x v="0"/>
  </r>
  <r>
    <d v="2023-09-27T00:00:00"/>
    <n v="125.760002"/>
    <n v="127.480003"/>
    <n v="124.129997"/>
    <n v="125.980003"/>
    <n v="125.980003"/>
    <n v="66553400"/>
    <x v="3"/>
    <x v="8"/>
    <x v="0"/>
  </r>
  <r>
    <d v="2023-09-28T00:00:00"/>
    <n v="124.040001"/>
    <n v="126.58000199999999"/>
    <n v="123.040001"/>
    <n v="125.980003"/>
    <n v="125.980003"/>
    <n v="54555000"/>
    <x v="0"/>
    <x v="8"/>
    <x v="0"/>
  </r>
  <r>
    <d v="2023-09-29T00:00:00"/>
    <n v="128.199997"/>
    <n v="129.14999399999999"/>
    <n v="126.32"/>
    <n v="127.120003"/>
    <n v="127.120003"/>
    <n v="62377600"/>
    <x v="1"/>
    <x v="8"/>
    <x v="0"/>
  </r>
  <r>
    <d v="2023-10-02T00:00:00"/>
    <n v="127.279999"/>
    <n v="130.470001"/>
    <n v="126.540001"/>
    <n v="129.46000699999999"/>
    <n v="129.46000699999999"/>
    <n v="48029700"/>
    <x v="4"/>
    <x v="9"/>
    <x v="0"/>
  </r>
  <r>
    <d v="2023-10-03T00:00:00"/>
    <n v="128.05999800000001"/>
    <n v="128.520004"/>
    <n v="124.25"/>
    <n v="124.720001"/>
    <n v="124.720001"/>
    <n v="51565000"/>
    <x v="2"/>
    <x v="9"/>
    <x v="0"/>
  </r>
  <r>
    <d v="2023-10-04T00:00:00"/>
    <n v="126.05999799999999"/>
    <n v="127.360001"/>
    <n v="125.68"/>
    <n v="127"/>
    <n v="127"/>
    <n v="44203900"/>
    <x v="3"/>
    <x v="9"/>
    <x v="0"/>
  </r>
  <r>
    <d v="2023-10-05T00:00:00"/>
    <n v="126.709999"/>
    <n v="126.730003"/>
    <n v="124.33000199999999"/>
    <n v="125.959999"/>
    <n v="125.959999"/>
    <n v="39660600"/>
    <x v="0"/>
    <x v="9"/>
    <x v="0"/>
  </r>
  <r>
    <d v="2023-10-06T00:00:00"/>
    <n v="124.160004"/>
    <n v="128.449997"/>
    <n v="124.129997"/>
    <n v="127.959999"/>
    <n v="127.959999"/>
    <n v="46795900"/>
    <x v="1"/>
    <x v="9"/>
    <x v="0"/>
  </r>
  <r>
    <d v="2023-10-09T00:00:00"/>
    <n v="126.220001"/>
    <n v="128.78999300000001"/>
    <n v="124.760002"/>
    <n v="128.259995"/>
    <n v="128.259995"/>
    <n v="38773700"/>
    <x v="4"/>
    <x v="9"/>
    <x v="0"/>
  </r>
  <r>
    <d v="2023-10-10T00:00:00"/>
    <n v="128.820007"/>
    <n v="130.740005"/>
    <n v="128.050003"/>
    <n v="129.479996"/>
    <n v="129.479996"/>
    <n v="42178600"/>
    <x v="2"/>
    <x v="9"/>
    <x v="0"/>
  </r>
  <r>
    <d v="2023-10-11T00:00:00"/>
    <n v="129.740005"/>
    <n v="132.050003"/>
    <n v="129.61000100000001"/>
    <n v="131.83000200000001"/>
    <n v="131.83000200000001"/>
    <n v="40741800"/>
    <x v="3"/>
    <x v="9"/>
    <x v="0"/>
  </r>
  <r>
    <d v="2023-10-12T00:00:00"/>
    <n v="132.16999799999999"/>
    <n v="134.479996"/>
    <n v="131.229996"/>
    <n v="132.33000200000001"/>
    <n v="132.33000200000001"/>
    <n v="55528600"/>
    <x v="0"/>
    <x v="9"/>
    <x v="0"/>
  </r>
  <r>
    <d v="2023-10-13T00:00:00"/>
    <n v="132.979996"/>
    <n v="133.30999800000001"/>
    <n v="128.949997"/>
    <n v="129.78999300000001"/>
    <n v="129.78999300000001"/>
    <n v="45786600"/>
    <x v="1"/>
    <x v="9"/>
    <x v="0"/>
  </r>
  <r>
    <d v="2023-10-16T00:00:00"/>
    <n v="130.69000199999999"/>
    <n v="133.070007"/>
    <n v="130.429993"/>
    <n v="132.550003"/>
    <n v="132.550003"/>
    <n v="42832900"/>
    <x v="4"/>
    <x v="9"/>
    <x v="0"/>
  </r>
  <r>
    <d v="2023-10-17T00:00:00"/>
    <n v="130.38999899999999"/>
    <n v="132.58000200000001"/>
    <n v="128.71000699999999"/>
    <n v="131.470001"/>
    <n v="131.470001"/>
    <n v="49344600"/>
    <x v="2"/>
    <x v="9"/>
    <x v="0"/>
  </r>
  <r>
    <d v="2023-10-18T00:00:00"/>
    <n v="129.89999399999999"/>
    <n v="130.66999799999999"/>
    <n v="127.510002"/>
    <n v="128.13000500000001"/>
    <n v="128.13000500000001"/>
    <n v="42699500"/>
    <x v="3"/>
    <x v="9"/>
    <x v="0"/>
  </r>
  <r>
    <d v="2023-10-19T00:00:00"/>
    <n v="130.570007"/>
    <n v="132.240005"/>
    <n v="127.470001"/>
    <n v="128.39999399999999"/>
    <n v="128.39999399999999"/>
    <n v="60961400"/>
    <x v="0"/>
    <x v="9"/>
    <x v="0"/>
  </r>
  <r>
    <d v="2023-10-20T00:00:00"/>
    <n v="128.050003"/>
    <n v="128.16999799999999"/>
    <n v="124.970001"/>
    <n v="125.16999800000001"/>
    <n v="125.16999800000001"/>
    <n v="56343300"/>
    <x v="1"/>
    <x v="9"/>
    <x v="0"/>
  </r>
  <r>
    <d v="2023-10-23T00:00:00"/>
    <n v="124.629997"/>
    <n v="127.879997"/>
    <n v="123.980003"/>
    <n v="126.55999799999999"/>
    <n v="126.55999799999999"/>
    <n v="48260000"/>
    <x v="4"/>
    <x v="9"/>
    <x v="0"/>
  </r>
  <r>
    <d v="2023-10-24T00:00:00"/>
    <n v="127.739998"/>
    <n v="128.800003"/>
    <n v="126.339996"/>
    <n v="128.55999800000001"/>
    <n v="128.55999800000001"/>
    <n v="46477400"/>
    <x v="2"/>
    <x v="9"/>
    <x v="0"/>
  </r>
  <r>
    <d v="2023-10-25T00:00:00"/>
    <n v="126.040001"/>
    <n v="126.339996"/>
    <n v="120.790001"/>
    <n v="121.389999"/>
    <n v="121.389999"/>
    <n v="74577500"/>
    <x v="3"/>
    <x v="9"/>
    <x v="0"/>
  </r>
  <r>
    <d v="2023-10-26T00:00:00"/>
    <n v="120.629997"/>
    <n v="121.639999"/>
    <n v="118.349998"/>
    <n v="119.57"/>
    <n v="119.57"/>
    <n v="100419500"/>
    <x v="0"/>
    <x v="9"/>
    <x v="0"/>
  </r>
  <r>
    <d v="2023-10-27T00:00:00"/>
    <n v="126.199997"/>
    <n v="130.020004"/>
    <n v="125.519997"/>
    <n v="127.739998"/>
    <n v="127.739998"/>
    <n v="125309300"/>
    <x v="1"/>
    <x v="9"/>
    <x v="0"/>
  </r>
  <r>
    <d v="2023-10-30T00:00:00"/>
    <n v="129.720001"/>
    <n v="133"/>
    <n v="128.55999800000001"/>
    <n v="132.71000699999999"/>
    <n v="132.71000699999999"/>
    <n v="72485500"/>
    <x v="4"/>
    <x v="9"/>
    <x v="0"/>
  </r>
  <r>
    <d v="2023-10-31T00:00:00"/>
    <n v="132.75"/>
    <n v="133.570007"/>
    <n v="131.71000699999999"/>
    <n v="133.08999600000001"/>
    <n v="133.08999600000001"/>
    <n v="51589400"/>
    <x v="2"/>
    <x v="9"/>
    <x v="0"/>
  </r>
  <r>
    <d v="2023-11-01T00:00:00"/>
    <n v="133.96000699999999"/>
    <n v="137.35000600000001"/>
    <n v="133.71000699999999"/>
    <n v="137"/>
    <n v="137"/>
    <n v="61529400"/>
    <x v="3"/>
    <x v="10"/>
    <x v="0"/>
  </r>
  <r>
    <d v="2023-11-02T00:00:00"/>
    <n v="138.729996"/>
    <n v="138.80999800000001"/>
    <n v="136.470001"/>
    <n v="138.070007"/>
    <n v="138.070007"/>
    <n v="52236700"/>
    <x v="0"/>
    <x v="10"/>
    <x v="0"/>
  </r>
  <r>
    <d v="2023-11-03T00:00:00"/>
    <n v="138.990005"/>
    <n v="139.490005"/>
    <n v="137.449997"/>
    <n v="138.60000600000001"/>
    <n v="138.60000600000001"/>
    <n v="44007200"/>
    <x v="1"/>
    <x v="10"/>
    <x v="0"/>
  </r>
  <r>
    <d v="2023-11-06T00:00:00"/>
    <n v="138.759995"/>
    <n v="140.729996"/>
    <n v="138.36000100000001"/>
    <n v="139.740005"/>
    <n v="139.740005"/>
    <n v="44970400"/>
    <x v="4"/>
    <x v="10"/>
    <x v="0"/>
  </r>
  <r>
    <d v="2023-11-07T00:00:00"/>
    <n v="140.550003"/>
    <n v="143.36999499999999"/>
    <n v="140.5"/>
    <n v="142.71000699999999"/>
    <n v="142.71000699999999"/>
    <n v="53553500"/>
    <x v="2"/>
    <x v="10"/>
    <x v="0"/>
  </r>
  <r>
    <d v="2023-11-08T00:00:00"/>
    <n v="142.970001"/>
    <n v="143.11999499999999"/>
    <n v="141.220001"/>
    <n v="142.08000200000001"/>
    <n v="142.08000200000001"/>
    <n v="44521700"/>
    <x v="3"/>
    <x v="10"/>
    <x v="0"/>
  </r>
  <r>
    <d v="2023-11-09T00:00:00"/>
    <n v="142.020004"/>
    <n v="142.64999399999999"/>
    <n v="139.83999600000001"/>
    <n v="140.60000600000001"/>
    <n v="140.60000600000001"/>
    <n v="36235400"/>
    <x v="0"/>
    <x v="10"/>
    <x v="0"/>
  </r>
  <r>
    <d v="2023-11-10T00:00:00"/>
    <n v="140.46000699999999"/>
    <n v="143.64999399999999"/>
    <n v="139.91000399999999"/>
    <n v="143.55999800000001"/>
    <n v="143.55999800000001"/>
    <n v="49287800"/>
    <x v="1"/>
    <x v="10"/>
    <x v="0"/>
  </r>
  <r>
    <d v="2023-11-13T00:00:00"/>
    <n v="142.08000200000001"/>
    <n v="143.229996"/>
    <n v="140.66999799999999"/>
    <n v="142.58999600000001"/>
    <n v="142.58999600000001"/>
    <n v="35680600"/>
    <x v="4"/>
    <x v="10"/>
    <x v="0"/>
  </r>
  <r>
    <d v="2023-11-14T00:00:00"/>
    <n v="145"/>
    <n v="147.259995"/>
    <n v="144.679993"/>
    <n v="145.800003"/>
    <n v="145.800003"/>
    <n v="56674600"/>
    <x v="2"/>
    <x v="10"/>
    <x v="0"/>
  </r>
  <r>
    <d v="2023-11-15T00:00:00"/>
    <n v="147.05999800000001"/>
    <n v="147.28999300000001"/>
    <n v="142.58999600000001"/>
    <n v="143.199997"/>
    <n v="143.199997"/>
    <n v="63875700"/>
    <x v="3"/>
    <x v="10"/>
    <x v="0"/>
  </r>
  <r>
    <d v="2023-11-16T00:00:00"/>
    <n v="140.91000399999999"/>
    <n v="143.320007"/>
    <n v="139.520004"/>
    <n v="142.83000200000001"/>
    <n v="142.83000200000001"/>
    <n v="49653500"/>
    <x v="0"/>
    <x v="10"/>
    <x v="0"/>
  </r>
  <r>
    <d v="2023-11-17T00:00:00"/>
    <n v="142.66000399999999"/>
    <n v="145.229996"/>
    <n v="142.53999300000001"/>
    <n v="145.179993"/>
    <n v="145.179993"/>
    <n v="49636700"/>
    <x v="1"/>
    <x v="10"/>
    <x v="0"/>
  </r>
  <r>
    <d v="2023-11-20T00:00:00"/>
    <n v="145.13000500000001"/>
    <n v="146.63000500000001"/>
    <n v="144.729996"/>
    <n v="146.13000500000001"/>
    <n v="146.13000500000001"/>
    <n v="41951200"/>
    <x v="4"/>
    <x v="10"/>
    <x v="0"/>
  </r>
  <r>
    <d v="2023-11-21T00:00:00"/>
    <n v="143.91000399999999"/>
    <n v="144.050003"/>
    <n v="141.5"/>
    <n v="143.89999399999999"/>
    <n v="143.89999399999999"/>
    <n v="71226000"/>
    <x v="2"/>
    <x v="10"/>
    <x v="0"/>
  </r>
  <r>
    <d v="2023-11-22T00:00:00"/>
    <n v="144.570007"/>
    <n v="147.740005"/>
    <n v="144.570007"/>
    <n v="146.71000699999999"/>
    <n v="146.71000699999999"/>
    <n v="45669100"/>
    <x v="3"/>
    <x v="10"/>
    <x v="0"/>
  </r>
  <r>
    <d v="2023-11-24T00:00:00"/>
    <n v="146.699997"/>
    <n v="147.199997"/>
    <n v="145.320007"/>
    <n v="146.740005"/>
    <n v="146.740005"/>
    <n v="22378400"/>
    <x v="1"/>
    <x v="10"/>
    <x v="0"/>
  </r>
  <r>
    <d v="2023-11-27T00:00:00"/>
    <n v="147.529999"/>
    <n v="149.259995"/>
    <n v="146.88000500000001"/>
    <n v="147.729996"/>
    <n v="147.729996"/>
    <n v="53762400"/>
    <x v="4"/>
    <x v="10"/>
    <x v="0"/>
  </r>
  <r>
    <d v="2023-11-28T00:00:00"/>
    <n v="146.979996"/>
    <n v="147.60000600000001"/>
    <n v="145.529999"/>
    <n v="147.029999"/>
    <n v="147.029999"/>
    <n v="42711700"/>
    <x v="2"/>
    <x v="10"/>
    <x v="0"/>
  </r>
  <r>
    <d v="2023-11-29T00:00:00"/>
    <n v="147.85000600000001"/>
    <n v="148.53999300000001"/>
    <n v="145.970001"/>
    <n v="146.320007"/>
    <n v="146.320007"/>
    <n v="40610900"/>
    <x v="3"/>
    <x v="10"/>
    <x v="0"/>
  </r>
  <r>
    <d v="2023-11-30T00:00:00"/>
    <n v="144.759995"/>
    <n v="146.929993"/>
    <n v="144.33000200000001"/>
    <n v="146.08999600000001"/>
    <n v="146.08999600000001"/>
    <n v="65814000"/>
    <x v="0"/>
    <x v="10"/>
    <x v="0"/>
  </r>
  <r>
    <d v="2023-12-01T00:00:00"/>
    <n v="146"/>
    <n v="147.25"/>
    <n v="145.550003"/>
    <n v="147.029999"/>
    <n v="147.029999"/>
    <n v="39924600"/>
    <x v="1"/>
    <x v="11"/>
    <x v="0"/>
  </r>
  <r>
    <d v="2023-12-04T00:00:00"/>
    <n v="145.25"/>
    <n v="145.35000600000001"/>
    <n v="142.80999800000001"/>
    <n v="144.83999600000001"/>
    <n v="144.83999600000001"/>
    <n v="48294200"/>
    <x v="4"/>
    <x v="11"/>
    <x v="0"/>
  </r>
  <r>
    <d v="2023-12-05T00:00:00"/>
    <n v="143.550003"/>
    <n v="148.570007"/>
    <n v="143.13000500000001"/>
    <n v="146.88000500000001"/>
    <n v="146.88000500000001"/>
    <n v="46822400"/>
    <x v="2"/>
    <x v="11"/>
    <x v="0"/>
  </r>
  <r>
    <d v="2023-12-06T00:00:00"/>
    <n v="147.58000200000001"/>
    <n v="147.85000600000001"/>
    <n v="144.279999"/>
    <n v="144.520004"/>
    <n v="144.520004"/>
    <n v="39679000"/>
    <x v="3"/>
    <x v="11"/>
    <x v="0"/>
  </r>
  <r>
    <d v="2023-12-07T00:00:00"/>
    <n v="146.14999399999999"/>
    <n v="147.91999799999999"/>
    <n v="145.33999600000001"/>
    <n v="146.88000500000001"/>
    <n v="146.88000500000001"/>
    <n v="52352800"/>
    <x v="0"/>
    <x v="11"/>
    <x v="0"/>
  </r>
  <r>
    <d v="2023-12-08T00:00:00"/>
    <n v="145.479996"/>
    <n v="147.83999600000001"/>
    <n v="145.39999399999999"/>
    <n v="147.41999799999999"/>
    <n v="147.41999799999999"/>
    <n v="41858000"/>
    <x v="1"/>
    <x v="11"/>
    <x v="0"/>
  </r>
  <r>
    <d v="2023-12-11T00:00:00"/>
    <n v="145.66000399999999"/>
    <n v="146.19000199999999"/>
    <n v="143.63999899999999"/>
    <n v="145.88999899999999"/>
    <n v="145.88999899999999"/>
    <n v="50907300"/>
    <x v="4"/>
    <x v="11"/>
    <x v="0"/>
  </r>
  <r>
    <d v="2023-12-12T00:00:00"/>
    <n v="145.520004"/>
    <n v="147.5"/>
    <n v="145.300003"/>
    <n v="147.479996"/>
    <n v="147.479996"/>
    <n v="44944300"/>
    <x v="2"/>
    <x v="11"/>
    <x v="0"/>
  </r>
  <r>
    <d v="2023-12-13T00:00:00"/>
    <n v="148.11999499999999"/>
    <n v="149.46000699999999"/>
    <n v="146.820007"/>
    <n v="148.83999600000001"/>
    <n v="148.83999600000001"/>
    <n v="52766200"/>
    <x v="3"/>
    <x v="11"/>
    <x v="0"/>
  </r>
  <r>
    <d v="2023-12-14T00:00:00"/>
    <n v="149.929993"/>
    <n v="150.53999300000001"/>
    <n v="145.520004"/>
    <n v="147.41999799999999"/>
    <n v="147.41999799999999"/>
    <n v="58400800"/>
    <x v="0"/>
    <x v="11"/>
    <x v="0"/>
  </r>
  <r>
    <d v="2023-12-15T00:00:00"/>
    <n v="148.38000500000001"/>
    <n v="150.570007"/>
    <n v="147.88000500000001"/>
    <n v="149.970001"/>
    <n v="149.970001"/>
    <n v="110039100"/>
    <x v="1"/>
    <x v="11"/>
    <x v="0"/>
  </r>
  <r>
    <d v="2023-12-18T00:00:00"/>
    <n v="150.55999800000001"/>
    <n v="154.85000600000001"/>
    <n v="150.050003"/>
    <n v="154.070007"/>
    <n v="154.070007"/>
    <n v="62512800"/>
    <x v="4"/>
    <x v="11"/>
    <x v="0"/>
  </r>
  <r>
    <d v="2023-12-19T00:00:00"/>
    <n v="154.39999399999999"/>
    <n v="155.11999499999999"/>
    <n v="152.69000199999999"/>
    <n v="153.78999300000001"/>
    <n v="153.78999300000001"/>
    <n v="43171300"/>
    <x v="2"/>
    <x v="11"/>
    <x v="0"/>
  </r>
  <r>
    <d v="2023-12-20T00:00:00"/>
    <n v="152.89999399999999"/>
    <n v="155.63000500000001"/>
    <n v="151.55999800000001"/>
    <n v="152.11999499999999"/>
    <n v="152.11999499999999"/>
    <n v="50322100"/>
    <x v="3"/>
    <x v="11"/>
    <x v="0"/>
  </r>
  <r>
    <d v="2023-12-21T00:00:00"/>
    <n v="153.300003"/>
    <n v="153.970001"/>
    <n v="152.10000600000001"/>
    <n v="153.83999600000001"/>
    <n v="153.83999600000001"/>
    <n v="36305700"/>
    <x v="0"/>
    <x v="11"/>
    <x v="0"/>
  </r>
  <r>
    <d v="2023-12-22T00:00:00"/>
    <n v="153.770004"/>
    <n v="154.35000600000001"/>
    <n v="152.71000699999999"/>
    <n v="153.41999799999999"/>
    <n v="153.41999799999999"/>
    <n v="29480100"/>
    <x v="1"/>
    <x v="11"/>
    <x v="0"/>
  </r>
  <r>
    <d v="2023-12-26T00:00:00"/>
    <n v="153.55999800000001"/>
    <n v="153.979996"/>
    <n v="153.029999"/>
    <n v="153.41000399999999"/>
    <n v="153.41000399999999"/>
    <n v="25067200"/>
    <x v="2"/>
    <x v="11"/>
    <x v="0"/>
  </r>
  <r>
    <d v="2023-12-27T00:00:00"/>
    <n v="153.55999800000001"/>
    <n v="154.779999"/>
    <n v="153.11999499999999"/>
    <n v="153.33999600000001"/>
    <n v="153.33999600000001"/>
    <n v="31434700"/>
    <x v="3"/>
    <x v="11"/>
    <x v="0"/>
  </r>
  <r>
    <d v="2023-12-28T00:00:00"/>
    <n v="153.720001"/>
    <n v="154.08000200000001"/>
    <n v="152.949997"/>
    <n v="153.38000500000001"/>
    <n v="153.38000500000001"/>
    <n v="27057000"/>
    <x v="0"/>
    <x v="11"/>
    <x v="0"/>
  </r>
  <r>
    <d v="2023-12-29T00:00:00"/>
    <n v="153.10000600000001"/>
    <n v="153.88999899999999"/>
    <n v="151.029999"/>
    <n v="151.94000199999999"/>
    <n v="151.94000199999999"/>
    <n v="39789000"/>
    <x v="1"/>
    <x v="11"/>
    <x v="0"/>
  </r>
  <r>
    <d v="2024-01-02T00:00:00"/>
    <n v="151.53999300000001"/>
    <n v="152.38000500000001"/>
    <n v="148.38999899999999"/>
    <n v="149.929993"/>
    <n v="149.929993"/>
    <n v="47339400"/>
    <x v="2"/>
    <x v="0"/>
    <x v="1"/>
  </r>
  <r>
    <d v="2024-01-03T00:00:00"/>
    <n v="149.199997"/>
    <n v="151.050003"/>
    <n v="148.33000200000001"/>
    <n v="148.470001"/>
    <n v="148.470001"/>
    <n v="49425500"/>
    <x v="3"/>
    <x v="0"/>
    <x v="1"/>
  </r>
  <r>
    <d v="2024-01-04T00:00:00"/>
    <n v="145.58999600000001"/>
    <n v="147.38000500000001"/>
    <n v="144.050003"/>
    <n v="144.570007"/>
    <n v="144.570007"/>
    <n v="56039800"/>
    <x v="0"/>
    <x v="0"/>
    <x v="1"/>
  </r>
  <r>
    <d v="2024-01-05T00:00:00"/>
    <n v="144.69000199999999"/>
    <n v="146.58999600000001"/>
    <n v="144.529999"/>
    <n v="145.240005"/>
    <n v="145.240005"/>
    <n v="45124800"/>
    <x v="1"/>
    <x v="0"/>
    <x v="1"/>
  </r>
  <r>
    <d v="2024-01-08T00:00:00"/>
    <n v="146.740005"/>
    <n v="149.39999399999999"/>
    <n v="146.14999399999999"/>
    <n v="149.10000600000001"/>
    <n v="149.10000600000001"/>
    <n v="46757100"/>
    <x v="4"/>
    <x v="0"/>
    <x v="1"/>
  </r>
  <r>
    <d v="2024-01-09T00:00:00"/>
    <n v="148.33000200000001"/>
    <n v="151.71000699999999"/>
    <n v="148.21000699999999"/>
    <n v="151.36999499999999"/>
    <n v="151.36999499999999"/>
    <n v="43812600"/>
    <x v="2"/>
    <x v="0"/>
    <x v="1"/>
  </r>
  <r>
    <d v="2024-01-10T00:00:00"/>
    <n v="152.05999800000001"/>
    <n v="154.41999799999999"/>
    <n v="151.88000500000001"/>
    <n v="153.729996"/>
    <n v="153.729996"/>
    <n v="44421800"/>
    <x v="3"/>
    <x v="0"/>
    <x v="1"/>
  </r>
  <r>
    <d v="2024-01-11T00:00:00"/>
    <n v="155.03999300000001"/>
    <n v="157.16999799999999"/>
    <n v="153.11999499999999"/>
    <n v="155.179993"/>
    <n v="155.179993"/>
    <n v="4895880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8AA72-8F28-4C39-90E5-8824AAA6A082}" name="PivotTable13"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Y3:AB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4"/>
        <item x="2"/>
        <item x="3"/>
        <item x="0"/>
        <item x="1"/>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4">
    <i>
      <x/>
    </i>
    <i i="1">
      <x v="1"/>
    </i>
    <i i="2">
      <x v="2"/>
    </i>
    <i i="3">
      <x v="3"/>
    </i>
  </colItems>
  <dataFields count="4">
    <dataField name="Average of High" fld="2" subtotal="average" baseField="7" baseItem="0"/>
    <dataField name="Average of Close" fld="4" subtotal="average" baseField="7" baseItem="3"/>
    <dataField name="Average of Low" fld="3" subtotal="average" baseField="7" baseItem="0"/>
    <dataField name="Average of Open" fld="1" subtotal="average" baseField="7" baseItem="3"/>
  </dataFields>
  <formats count="1">
    <format dxfId="1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B680F9-0735-4A06-9B9D-412681F0604B}" name="PivotTable12"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U3:W8"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4"/>
        <item x="2"/>
        <item x="3"/>
        <item x="0"/>
        <item x="1"/>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7" baseItem="0"/>
    <dataField name="Average of Low" fld="3" subtotal="average" baseField="7" baseItem="0"/>
  </dataFields>
  <formats count="1">
    <format dxfId="118">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AA8AFE-C6F3-42D8-93AB-09B4DB32C039}" name="PivotTable11"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Q3:S8" firstHeaderRow="0" firstDataRow="1" firstDataCol="1"/>
  <pivotFields count="10">
    <pivotField numFmtId="14" showAll="0"/>
    <pivotField dataField="1" showAll="0"/>
    <pivotField showAll="0"/>
    <pivotField showAll="0"/>
    <pivotField dataField="1" showAll="0"/>
    <pivotField showAll="0"/>
    <pivotField showAll="0"/>
    <pivotField axis="axisRow" showAll="0">
      <items count="6">
        <item x="4"/>
        <item x="2"/>
        <item x="3"/>
        <item x="0"/>
        <item x="1"/>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7" baseItem="0"/>
    <dataField name="Average of Close" fld="4" subtotal="average" baseField="7" baseItem="0"/>
  </dataFields>
  <formats count="1">
    <format dxfId="121">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64B8EF-495C-420B-8E6E-3462C3BBA05C}" name="PivotTable9"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L3:M15" firstHeaderRow="1" firstDataRow="1" firstDataCol="1"/>
  <pivotFields count="10">
    <pivotField numFmtId="14" showAll="0"/>
    <pivotField showAll="0"/>
    <pivotField showAll="0"/>
    <pivotField showAll="0"/>
    <pivotField showAll="0"/>
    <pivotField showAll="0"/>
    <pivotField dataField="1" showAll="0"/>
    <pivotField showAll="0">
      <items count="6">
        <item x="4"/>
        <item x="2"/>
        <item x="3"/>
        <item x="0"/>
        <item x="1"/>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10" numFmtId="168"/>
  </dataFields>
  <formats count="1">
    <format dxfId="11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036724-EFF6-4500-932E-B9B510E509FC}" name="PivotTable8"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3:J5" firstHeaderRow="1" firstDataRow="1" firstDataCol="1"/>
  <pivotFields count="10">
    <pivotField numFmtId="14" showAll="0"/>
    <pivotField showAll="0"/>
    <pivotField showAll="0"/>
    <pivotField showAll="0"/>
    <pivotField showAll="0"/>
    <pivotField dataField="1" showAll="0"/>
    <pivotField showAll="0"/>
    <pivotField showAll="0">
      <items count="6">
        <item x="4"/>
        <item x="2"/>
        <item x="3"/>
        <item x="0"/>
        <item x="1"/>
        <item t="default"/>
      </items>
    </pivotField>
    <pivotField showAll="0">
      <items count="13">
        <item x="0"/>
        <item x="1"/>
        <item x="2"/>
        <item x="3"/>
        <item x="4"/>
        <item x="5"/>
        <item x="6"/>
        <item x="7"/>
        <item x="8"/>
        <item x="9"/>
        <item x="10"/>
        <item x="11"/>
        <item t="default"/>
      </items>
    </pivotField>
    <pivotField axis="axisRow" showAll="0">
      <items count="3">
        <item x="0"/>
        <item x="1"/>
        <item t="default"/>
      </items>
    </pivotField>
  </pivotFields>
  <rowFields count="1">
    <field x="9"/>
  </rowFields>
  <rowItems count="2">
    <i>
      <x/>
    </i>
    <i>
      <x v="1"/>
    </i>
  </rowItems>
  <colItems count="1">
    <i/>
  </colItems>
  <dataFields count="1">
    <dataField name="Average of Adj Close" fld="5" subtotal="average" baseField="9" baseItem="0"/>
  </dataFields>
  <formats count="1">
    <format dxfId="12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D28404-E092-4DEC-93C4-12D4D65F822A}" name="PivotTable7"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3:F8" firstHeaderRow="1" firstDataRow="1" firstDataCol="1"/>
  <pivotFields count="10">
    <pivotField numFmtId="14" showAll="0"/>
    <pivotField showAll="0"/>
    <pivotField showAll="0"/>
    <pivotField showAll="0"/>
    <pivotField showAll="0"/>
    <pivotField showAll="0"/>
    <pivotField dataField="1" showAll="0"/>
    <pivotField axis="axisRow" showAll="0">
      <items count="6">
        <item x="4"/>
        <item x="2"/>
        <item x="3"/>
        <item x="0"/>
        <item x="1"/>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Average of Volume" fld="6" subtotal="average" baseField="7" baseItem="2"/>
  </dataFields>
  <formats count="1">
    <format dxfId="123">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4E8624-0A72-4AE0-9714-2B7FE99E25E8}" name="PivotTable6"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5" firstHeaderRow="1" firstDataRow="1" firstDataCol="1"/>
  <pivotFields count="10">
    <pivotField numFmtId="14" showAll="0"/>
    <pivotField showAll="0"/>
    <pivotField showAll="0"/>
    <pivotField showAll="0"/>
    <pivotField showAll="0"/>
    <pivotField dataField="1" showAll="0"/>
    <pivotField showAll="0"/>
    <pivotField showAll="0">
      <items count="6">
        <item x="4"/>
        <item x="2"/>
        <item x="3"/>
        <item x="0"/>
        <item x="1"/>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 Close" fld="5" subtotal="average" baseField="8" baseItem="0" numFmtId="2"/>
  </dataFields>
  <formats count="1">
    <format dxfId="1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F3F1885D-2E25-4365-BB44-872F331F0D8F}" sourceName="Day_name">
  <pivotTables>
    <pivotTable tabId="6" name="PivotTable12"/>
    <pivotTable tabId="6" name="PivotTable11"/>
    <pivotTable tabId="6" name="PivotTable13"/>
    <pivotTable tabId="6" name="PivotTable6"/>
    <pivotTable tabId="6" name="PivotTable7"/>
    <pivotTable tabId="6" name="PivotTable8"/>
    <pivotTable tabId="6" name="PivotTable9"/>
  </pivotTables>
  <data>
    <tabular pivotCacheId="1758642816">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F0D9173-9ADF-428C-A464-F86678FE2D88}" sourceName="Month_name">
  <pivotTables>
    <pivotTable tabId="6" name="PivotTable12"/>
    <pivotTable tabId="6" name="PivotTable11"/>
    <pivotTable tabId="6" name="PivotTable13"/>
    <pivotTable tabId="6" name="PivotTable6"/>
    <pivotTable tabId="6" name="PivotTable7"/>
    <pivotTable tabId="6" name="PivotTable8"/>
    <pivotTable tabId="6" name="PivotTable9"/>
  </pivotTables>
  <data>
    <tabular pivotCacheId="175864281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8FD371-7D6B-4885-B1B9-6336D860102F}" sourceName="Year">
  <pivotTables>
    <pivotTable tabId="6" name="PivotTable12"/>
    <pivotTable tabId="6" name="PivotTable11"/>
    <pivotTable tabId="6" name="PivotTable13"/>
    <pivotTable tabId="6" name="PivotTable6"/>
    <pivotTable tabId="6" name="PivotTable7"/>
    <pivotTable tabId="6" name="PivotTable8"/>
    <pivotTable tabId="6" name="PivotTable9"/>
  </pivotTables>
  <data>
    <tabular pivotCacheId="175864281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1" xr10:uid="{D0EE2A9C-604D-4D79-8A95-103BFC06A415}" cache="Slicer_Day_name" columnCount="2" style="SlicerStyleLight2" rowHeight="260350"/>
  <slicer name="Month_name 1" xr10:uid="{C10D24B9-BF24-41D7-AC25-68D49FCE6F46}" cache="Slicer_Month_name" columnCount="4" style="SlicerStyleLight2" rowHeight="260350"/>
  <slicer name="Year 1" xr10:uid="{77CDCF88-60DD-4236-A0DD-8621A53B4BB9}" cache="Slicer_Year" style="SlicerStyleLigh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CAF777-E4A7-482E-89DE-52A15E95C9B1}" name="Table2" displayName="Table2" ref="A1:J252" totalsRowShown="0">
  <autoFilter ref="A1:J252" xr:uid="{3DCAF777-E4A7-482E-89DE-52A15E95C9B1}"/>
  <sortState xmlns:xlrd2="http://schemas.microsoft.com/office/spreadsheetml/2017/richdata2" ref="A2:G252">
    <sortCondition ref="A1:A252"/>
  </sortState>
  <tableColumns count="10">
    <tableColumn id="1" xr3:uid="{E09D9AF9-7629-45F6-B8DC-BB176C0E2FB2}" name="Date" dataDxfId="128"/>
    <tableColumn id="2" xr3:uid="{ED167E72-E207-4BA9-AD8E-7F9EE9F879AB}" name="Open"/>
    <tableColumn id="3" xr3:uid="{7AFF2098-7BA5-4CAF-B25D-408BFAE938D9}" name="High"/>
    <tableColumn id="4" xr3:uid="{D7CB9AC9-10F8-476B-A007-7B853861812E}" name="Low"/>
    <tableColumn id="5" xr3:uid="{7018C307-9F27-4E80-963B-2EFF3ED08385}" name="Close"/>
    <tableColumn id="6" xr3:uid="{4252DAE9-13E8-4B86-9676-08BA91C8C6A3}" name="Adj Close"/>
    <tableColumn id="7" xr3:uid="{E4DBFEE1-D5F9-4AA0-8321-2C46864DBDFF}" name="Volume"/>
    <tableColumn id="8" xr3:uid="{38DDCCE9-0F98-4147-87F2-29B3092EB9FB}" name="Day_name" dataDxfId="127">
      <calculatedColumnFormula>TEXT(Table2[[#This Row],[Date]],"ddd")</calculatedColumnFormula>
    </tableColumn>
    <tableColumn id="9" xr3:uid="{88AE3E98-79EF-446D-A936-4FB5450217E1}" name="Month_name" dataDxfId="126">
      <calculatedColumnFormula>TEXT(Table2[[#This Row],[Date]],"mmmm")</calculatedColumnFormula>
    </tableColumn>
    <tableColumn id="10" xr3:uid="{769BEA34-D2FF-48FC-B0DC-D476ADCA7AA1}" name="Year" dataDxfId="125">
      <calculatedColumnFormula>TEXT(Table2[[#This Row],[Date]],"yyyy")</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97D8-2755-447B-93BB-94D3396C35FC}">
  <dimension ref="A3:AB15"/>
  <sheetViews>
    <sheetView workbookViewId="0">
      <selection activeCell="G15" sqref="G15"/>
    </sheetView>
  </sheetViews>
  <sheetFormatPr defaultRowHeight="15.6" x14ac:dyDescent="0.3"/>
  <cols>
    <col min="1" max="1" width="12.296875" bestFit="1" customWidth="1"/>
    <col min="2" max="2" width="18.296875" bestFit="1" customWidth="1"/>
    <col min="5" max="5" width="12.296875" bestFit="1" customWidth="1"/>
    <col min="6" max="6" width="16.8984375" bestFit="1" customWidth="1"/>
    <col min="9" max="9" width="12.296875" bestFit="1" customWidth="1"/>
    <col min="10" max="10" width="18.296875" bestFit="1" customWidth="1"/>
    <col min="12" max="12" width="12.296875" bestFit="1" customWidth="1"/>
    <col min="13" max="13" width="16.8984375" bestFit="1" customWidth="1"/>
    <col min="14" max="14" width="13.796875" bestFit="1" customWidth="1"/>
    <col min="17" max="17" width="12.296875" bestFit="1" customWidth="1"/>
    <col min="18" max="18" width="15" bestFit="1" customWidth="1"/>
    <col min="19" max="19" width="14.8984375" bestFit="1" customWidth="1"/>
    <col min="21" max="21" width="12.296875" bestFit="1" customWidth="1"/>
    <col min="22" max="22" width="14.19921875" bestFit="1" customWidth="1"/>
    <col min="23" max="23" width="13.796875" bestFit="1" customWidth="1"/>
    <col min="25" max="25" width="14.19921875" bestFit="1" customWidth="1"/>
    <col min="26" max="26" width="14.8984375" bestFit="1" customWidth="1"/>
    <col min="27" max="27" width="13.796875" bestFit="1" customWidth="1"/>
    <col min="28" max="29" width="15" bestFit="1" customWidth="1"/>
  </cols>
  <sheetData>
    <row r="3" spans="1:28" x14ac:dyDescent="0.3">
      <c r="A3" s="3" t="s">
        <v>10</v>
      </c>
      <c r="B3" t="s">
        <v>23</v>
      </c>
      <c r="E3" s="3" t="s">
        <v>10</v>
      </c>
      <c r="F3" t="s">
        <v>30</v>
      </c>
      <c r="I3" s="3" t="s">
        <v>10</v>
      </c>
      <c r="J3" t="s">
        <v>23</v>
      </c>
      <c r="L3" s="3" t="s">
        <v>10</v>
      </c>
      <c r="M3" t="s">
        <v>30</v>
      </c>
      <c r="Q3" s="3" t="s">
        <v>10</v>
      </c>
      <c r="R3" t="s">
        <v>32</v>
      </c>
      <c r="S3" t="s">
        <v>35</v>
      </c>
      <c r="U3" s="3" t="s">
        <v>10</v>
      </c>
      <c r="V3" t="s">
        <v>33</v>
      </c>
      <c r="W3" t="s">
        <v>34</v>
      </c>
      <c r="Y3" t="s">
        <v>33</v>
      </c>
      <c r="Z3" t="s">
        <v>35</v>
      </c>
      <c r="AA3" t="s">
        <v>34</v>
      </c>
      <c r="AB3" t="s">
        <v>32</v>
      </c>
    </row>
    <row r="4" spans="1:28" x14ac:dyDescent="0.3">
      <c r="A4" s="4" t="s">
        <v>11</v>
      </c>
      <c r="B4" s="2">
        <v>117.59904733333335</v>
      </c>
      <c r="E4" s="4" t="s">
        <v>29</v>
      </c>
      <c r="F4" s="2">
        <v>52421855.555555552</v>
      </c>
      <c r="I4" s="4" t="s">
        <v>25</v>
      </c>
      <c r="J4" s="2">
        <v>122.34864235390941</v>
      </c>
      <c r="L4" s="4" t="s">
        <v>11</v>
      </c>
      <c r="M4" s="6">
        <v>65366866.666666664</v>
      </c>
      <c r="Q4" s="4" t="s">
        <v>29</v>
      </c>
      <c r="R4" s="2">
        <v>122.63688953333335</v>
      </c>
      <c r="S4" s="2">
        <v>123.11733397777775</v>
      </c>
      <c r="U4" s="4" t="s">
        <v>29</v>
      </c>
      <c r="V4" s="2">
        <v>124.2173329111111</v>
      </c>
      <c r="W4" s="2">
        <v>121.26511166666668</v>
      </c>
      <c r="Y4" s="2">
        <v>124.62780857768912</v>
      </c>
      <c r="Z4" s="2">
        <v>123.22035891633463</v>
      </c>
      <c r="AA4" s="2">
        <v>121.61876520717131</v>
      </c>
      <c r="AB4" s="2">
        <v>123.0635062430279</v>
      </c>
    </row>
    <row r="5" spans="1:28" x14ac:dyDescent="0.3">
      <c r="A5" s="4" t="s">
        <v>12</v>
      </c>
      <c r="B5" s="2">
        <v>99.214211421052639</v>
      </c>
      <c r="E5" s="4" t="s">
        <v>28</v>
      </c>
      <c r="F5" s="2">
        <v>53161586.274509802</v>
      </c>
      <c r="I5" s="4" t="s">
        <v>31</v>
      </c>
      <c r="J5" s="2">
        <v>149.69874949999999</v>
      </c>
      <c r="L5" s="4" t="s">
        <v>12</v>
      </c>
      <c r="M5" s="6">
        <v>71794842.105263159</v>
      </c>
      <c r="Q5" s="4" t="s">
        <v>28</v>
      </c>
      <c r="R5" s="2">
        <v>123.23980431372551</v>
      </c>
      <c r="S5" s="2">
        <v>123.34509807843136</v>
      </c>
      <c r="U5" s="4" t="s">
        <v>28</v>
      </c>
      <c r="V5" s="2">
        <v>124.55960809803921</v>
      </c>
      <c r="W5" s="2">
        <v>121.85352974509804</v>
      </c>
    </row>
    <row r="6" spans="1:28" x14ac:dyDescent="0.3">
      <c r="A6" s="4" t="s">
        <v>13</v>
      </c>
      <c r="B6" s="2">
        <v>96.546955913043462</v>
      </c>
      <c r="E6" s="4" t="s">
        <v>27</v>
      </c>
      <c r="F6" s="2">
        <v>55894526.92307692</v>
      </c>
      <c r="L6" s="4" t="s">
        <v>13</v>
      </c>
      <c r="M6" s="6">
        <v>58662621.739130437</v>
      </c>
      <c r="Q6" s="4" t="s">
        <v>27</v>
      </c>
      <c r="R6" s="2">
        <v>123.4901922307692</v>
      </c>
      <c r="S6" s="2">
        <v>123.3653855961538</v>
      </c>
      <c r="U6" s="4" t="s">
        <v>27</v>
      </c>
      <c r="V6" s="2">
        <v>125.04480740384616</v>
      </c>
      <c r="W6" s="2">
        <v>121.93346140384614</v>
      </c>
    </row>
    <row r="7" spans="1:28" x14ac:dyDescent="0.3">
      <c r="A7" s="4" t="s">
        <v>14</v>
      </c>
      <c r="B7" s="2">
        <v>103.34157889473683</v>
      </c>
      <c r="E7" s="4" t="s">
        <v>26</v>
      </c>
      <c r="F7" s="2">
        <v>62204938.461538464</v>
      </c>
      <c r="L7" s="4" t="s">
        <v>14</v>
      </c>
      <c r="M7" s="6">
        <v>64425452.631578945</v>
      </c>
      <c r="Q7" s="4" t="s">
        <v>26</v>
      </c>
      <c r="R7" s="2">
        <v>122.6619230192308</v>
      </c>
      <c r="S7" s="2">
        <v>122.75365413461535</v>
      </c>
      <c r="U7" s="4" t="s">
        <v>26</v>
      </c>
      <c r="V7" s="2">
        <v>124.29596090384612</v>
      </c>
      <c r="W7" s="2">
        <v>121.05250034615379</v>
      </c>
    </row>
    <row r="8" spans="1:28" x14ac:dyDescent="0.3">
      <c r="A8" s="4" t="s">
        <v>15</v>
      </c>
      <c r="B8" s="2">
        <v>111.93954650000001</v>
      </c>
      <c r="E8" s="4" t="s">
        <v>24</v>
      </c>
      <c r="F8" s="2">
        <v>65596215.686274506</v>
      </c>
      <c r="L8" s="4" t="s">
        <v>15</v>
      </c>
      <c r="M8" s="6">
        <v>65131436.363636367</v>
      </c>
      <c r="Q8" s="4" t="s">
        <v>24</v>
      </c>
      <c r="R8" s="2">
        <v>123.23803970588234</v>
      </c>
      <c r="S8" s="2">
        <v>123.51450962745098</v>
      </c>
      <c r="U8" s="4" t="s">
        <v>24</v>
      </c>
      <c r="V8" s="2">
        <v>124.97137268627451</v>
      </c>
      <c r="W8" s="2">
        <v>121.95254929411767</v>
      </c>
    </row>
    <row r="9" spans="1:28" x14ac:dyDescent="0.3">
      <c r="A9" s="4" t="s">
        <v>16</v>
      </c>
      <c r="B9" s="2">
        <v>126.38047585714284</v>
      </c>
      <c r="L9" s="4" t="s">
        <v>16</v>
      </c>
      <c r="M9" s="6">
        <v>59173752.380952381</v>
      </c>
    </row>
    <row r="10" spans="1:28" x14ac:dyDescent="0.3">
      <c r="A10" s="4" t="s">
        <v>17</v>
      </c>
      <c r="B10" s="2">
        <v>130.81800055000002</v>
      </c>
      <c r="L10" s="4" t="s">
        <v>17</v>
      </c>
      <c r="M10" s="6">
        <v>52937740</v>
      </c>
    </row>
    <row r="11" spans="1:28" x14ac:dyDescent="0.3">
      <c r="A11" s="4" t="s">
        <v>18</v>
      </c>
      <c r="B11" s="2">
        <v>135.5021753478261</v>
      </c>
      <c r="L11" s="4" t="s">
        <v>18</v>
      </c>
      <c r="M11" s="6">
        <v>52627226.086956523</v>
      </c>
    </row>
    <row r="12" spans="1:28" x14ac:dyDescent="0.3">
      <c r="A12" s="4" t="s">
        <v>19</v>
      </c>
      <c r="B12" s="2">
        <v>135.44000084999999</v>
      </c>
      <c r="L12" s="4" t="s">
        <v>19</v>
      </c>
      <c r="M12" s="6">
        <v>56013595</v>
      </c>
    </row>
    <row r="13" spans="1:28" x14ac:dyDescent="0.3">
      <c r="A13" s="4" t="s">
        <v>20</v>
      </c>
      <c r="B13" s="2">
        <v>128.27863595454548</v>
      </c>
      <c r="L13" s="4" t="s">
        <v>20</v>
      </c>
      <c r="M13" s="6">
        <v>55662031.81818182</v>
      </c>
    </row>
    <row r="14" spans="1:28" x14ac:dyDescent="0.3">
      <c r="A14" s="4" t="s">
        <v>21</v>
      </c>
      <c r="B14" s="2">
        <v>143.45762052380954</v>
      </c>
      <c r="L14" s="4" t="s">
        <v>21</v>
      </c>
      <c r="M14" s="6">
        <v>48856519.047619045</v>
      </c>
    </row>
    <row r="15" spans="1:28" x14ac:dyDescent="0.3">
      <c r="A15" s="4" t="s">
        <v>22</v>
      </c>
      <c r="B15" s="2">
        <v>149.82399964999996</v>
      </c>
      <c r="L15" s="4" t="s">
        <v>22</v>
      </c>
      <c r="M15" s="6">
        <v>46556430</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3AF0-6AF4-414B-AD21-F39855CF905B}">
  <dimension ref="A1:J252"/>
  <sheetViews>
    <sheetView topLeftCell="A2" workbookViewId="0">
      <selection activeCell="E12" sqref="E12"/>
    </sheetView>
  </sheetViews>
  <sheetFormatPr defaultRowHeight="15.6" x14ac:dyDescent="0.3"/>
  <cols>
    <col min="1" max="1" width="10.09765625" style="1" bestFit="1" customWidth="1"/>
    <col min="6" max="6" width="10.3984375" customWidth="1"/>
    <col min="7" max="7" width="9.09765625" customWidth="1"/>
    <col min="8" max="8" width="11.796875" bestFit="1" customWidth="1"/>
    <col min="9" max="9" width="14.296875" bestFit="1" customWidth="1"/>
    <col min="10" max="10" width="6.59765625" bestFit="1" customWidth="1"/>
    <col min="12" max="12" width="8" bestFit="1" customWidth="1"/>
  </cols>
  <sheetData>
    <row r="1" spans="1:10" x14ac:dyDescent="0.3">
      <c r="A1" s="1" t="s">
        <v>0</v>
      </c>
      <c r="B1" t="s">
        <v>1</v>
      </c>
      <c r="C1" t="s">
        <v>2</v>
      </c>
      <c r="D1" t="s">
        <v>3</v>
      </c>
      <c r="E1" t="s">
        <v>4</v>
      </c>
      <c r="F1" t="s">
        <v>5</v>
      </c>
      <c r="G1" t="s">
        <v>6</v>
      </c>
      <c r="H1" t="s">
        <v>7</v>
      </c>
      <c r="I1" t="s">
        <v>8</v>
      </c>
      <c r="J1" t="s">
        <v>9</v>
      </c>
    </row>
    <row r="2" spans="1:10" x14ac:dyDescent="0.3">
      <c r="A2" s="1">
        <v>44938</v>
      </c>
      <c r="B2">
        <v>96.93</v>
      </c>
      <c r="C2">
        <v>97.190002000000007</v>
      </c>
      <c r="D2">
        <v>93.5</v>
      </c>
      <c r="E2">
        <v>95.269997000000004</v>
      </c>
      <c r="F2">
        <v>95.269997000000004</v>
      </c>
      <c r="G2">
        <v>85254800</v>
      </c>
      <c r="H2" t="str">
        <f>TEXT(Table2[[#This Row],[Date]],"ddd")</f>
        <v>Thu</v>
      </c>
      <c r="I2" t="str">
        <f>TEXT(Table2[[#This Row],[Date]],"mmmm")</f>
        <v>January</v>
      </c>
      <c r="J2" t="str">
        <f>TEXT(Table2[[#This Row],[Date]],"yyyy")</f>
        <v>2023</v>
      </c>
    </row>
    <row r="3" spans="1:10" x14ac:dyDescent="0.3">
      <c r="A3" s="1">
        <v>44939</v>
      </c>
      <c r="B3">
        <v>94.18</v>
      </c>
      <c r="C3">
        <v>98.370002999999997</v>
      </c>
      <c r="D3">
        <v>94.120002999999997</v>
      </c>
      <c r="E3">
        <v>98.120002999999997</v>
      </c>
      <c r="F3">
        <v>98.120002999999997</v>
      </c>
      <c r="G3">
        <v>85549400</v>
      </c>
      <c r="H3" t="str">
        <f>TEXT(Table2[[#This Row],[Date]],"ddd")</f>
        <v>Fri</v>
      </c>
      <c r="I3" t="str">
        <f>TEXT(Table2[[#This Row],[Date]],"mmmm")</f>
        <v>January</v>
      </c>
      <c r="J3" t="str">
        <f>TEXT(Table2[[#This Row],[Date]],"yyyy")</f>
        <v>2023</v>
      </c>
    </row>
    <row r="4" spans="1:10" x14ac:dyDescent="0.3">
      <c r="A4" s="1">
        <v>44943</v>
      </c>
      <c r="B4">
        <v>98.68</v>
      </c>
      <c r="C4">
        <v>98.889999000000003</v>
      </c>
      <c r="D4">
        <v>95.730002999999996</v>
      </c>
      <c r="E4">
        <v>96.050003000000004</v>
      </c>
      <c r="F4">
        <v>96.050003000000004</v>
      </c>
      <c r="G4">
        <v>72755000</v>
      </c>
      <c r="H4" t="str">
        <f>TEXT(Table2[[#This Row],[Date]],"ddd")</f>
        <v>Tue</v>
      </c>
      <c r="I4" t="str">
        <f>TEXT(Table2[[#This Row],[Date]],"mmmm")</f>
        <v>January</v>
      </c>
      <c r="J4" t="str">
        <f>TEXT(Table2[[#This Row],[Date]],"yyyy")</f>
        <v>2023</v>
      </c>
    </row>
    <row r="5" spans="1:10" x14ac:dyDescent="0.3">
      <c r="A5" s="1">
        <v>44944</v>
      </c>
      <c r="B5">
        <v>97.25</v>
      </c>
      <c r="C5">
        <v>99.32</v>
      </c>
      <c r="D5">
        <v>95.379997000000003</v>
      </c>
      <c r="E5">
        <v>95.459998999999996</v>
      </c>
      <c r="F5">
        <v>95.459998999999996</v>
      </c>
      <c r="G5">
        <v>79570400</v>
      </c>
      <c r="H5" t="str">
        <f>TEXT(Table2[[#This Row],[Date]],"ddd")</f>
        <v>Wed</v>
      </c>
      <c r="I5" t="str">
        <f>TEXT(Table2[[#This Row],[Date]],"mmmm")</f>
        <v>January</v>
      </c>
      <c r="J5" t="str">
        <f>TEXT(Table2[[#This Row],[Date]],"yyyy")</f>
        <v>2023</v>
      </c>
    </row>
    <row r="6" spans="1:10" x14ac:dyDescent="0.3">
      <c r="A6" s="1">
        <v>44945</v>
      </c>
      <c r="B6">
        <v>94.739998</v>
      </c>
      <c r="C6">
        <v>95.440002000000007</v>
      </c>
      <c r="D6">
        <v>92.860000999999997</v>
      </c>
      <c r="E6">
        <v>93.68</v>
      </c>
      <c r="F6">
        <v>93.68</v>
      </c>
      <c r="G6">
        <v>69002700</v>
      </c>
      <c r="H6" t="str">
        <f>TEXT(Table2[[#This Row],[Date]],"ddd")</f>
        <v>Thu</v>
      </c>
      <c r="I6" t="str">
        <f>TEXT(Table2[[#This Row],[Date]],"mmmm")</f>
        <v>January</v>
      </c>
      <c r="J6" t="str">
        <f>TEXT(Table2[[#This Row],[Date]],"yyyy")</f>
        <v>2023</v>
      </c>
    </row>
    <row r="7" spans="1:10" x14ac:dyDescent="0.3">
      <c r="A7" s="1">
        <v>44946</v>
      </c>
      <c r="B7">
        <v>93.860000999999997</v>
      </c>
      <c r="C7">
        <v>97.349997999999999</v>
      </c>
      <c r="D7">
        <v>93.199996999999996</v>
      </c>
      <c r="E7">
        <v>97.25</v>
      </c>
      <c r="F7">
        <v>97.25</v>
      </c>
      <c r="G7">
        <v>67481500</v>
      </c>
      <c r="H7" t="str">
        <f>TEXT(Table2[[#This Row],[Date]],"ddd")</f>
        <v>Fri</v>
      </c>
      <c r="I7" t="str">
        <f>TEXT(Table2[[#This Row],[Date]],"mmmm")</f>
        <v>January</v>
      </c>
      <c r="J7" t="str">
        <f>TEXT(Table2[[#This Row],[Date]],"yyyy")</f>
        <v>2023</v>
      </c>
    </row>
    <row r="8" spans="1:10" x14ac:dyDescent="0.3">
      <c r="A8" s="1">
        <v>44949</v>
      </c>
      <c r="B8">
        <v>97.559997999999993</v>
      </c>
      <c r="C8">
        <v>97.779999000000004</v>
      </c>
      <c r="D8">
        <v>95.860000999999997</v>
      </c>
      <c r="E8">
        <v>97.519997000000004</v>
      </c>
      <c r="F8">
        <v>97.519997000000004</v>
      </c>
      <c r="G8">
        <v>76501100</v>
      </c>
      <c r="H8" t="str">
        <f>TEXT(Table2[[#This Row],[Date]],"ddd")</f>
        <v>Mon</v>
      </c>
      <c r="I8" t="str">
        <f>TEXT(Table2[[#This Row],[Date]],"mmmm")</f>
        <v>January</v>
      </c>
      <c r="J8" t="str">
        <f>TEXT(Table2[[#This Row],[Date]],"yyyy")</f>
        <v>2023</v>
      </c>
    </row>
    <row r="9" spans="1:10" x14ac:dyDescent="0.3">
      <c r="A9" s="1">
        <v>44950</v>
      </c>
      <c r="B9">
        <v>96.93</v>
      </c>
      <c r="C9">
        <v>98.089995999999999</v>
      </c>
      <c r="D9">
        <v>96</v>
      </c>
      <c r="E9">
        <v>96.32</v>
      </c>
      <c r="F9">
        <v>96.32</v>
      </c>
      <c r="G9">
        <v>66929500</v>
      </c>
      <c r="H9" t="str">
        <f>TEXT(Table2[[#This Row],[Date]],"ddd")</f>
        <v>Tue</v>
      </c>
      <c r="I9" t="str">
        <f>TEXT(Table2[[#This Row],[Date]],"mmmm")</f>
        <v>January</v>
      </c>
      <c r="J9" t="str">
        <f>TEXT(Table2[[#This Row],[Date]],"yyyy")</f>
        <v>2023</v>
      </c>
    </row>
    <row r="10" spans="1:10" x14ac:dyDescent="0.3">
      <c r="A10" s="1">
        <v>44951</v>
      </c>
      <c r="B10">
        <v>92.559997999999993</v>
      </c>
      <c r="C10">
        <v>97.239998</v>
      </c>
      <c r="D10">
        <v>91.519997000000004</v>
      </c>
      <c r="E10">
        <v>97.18</v>
      </c>
      <c r="F10">
        <v>97.18</v>
      </c>
      <c r="G10">
        <v>94261600</v>
      </c>
      <c r="H10" t="str">
        <f>TEXT(Table2[[#This Row],[Date]],"ddd")</f>
        <v>Wed</v>
      </c>
      <c r="I10" t="str">
        <f>TEXT(Table2[[#This Row],[Date]],"mmmm")</f>
        <v>January</v>
      </c>
      <c r="J10" t="str">
        <f>TEXT(Table2[[#This Row],[Date]],"yyyy")</f>
        <v>2023</v>
      </c>
    </row>
    <row r="11" spans="1:10" x14ac:dyDescent="0.3">
      <c r="A11" s="1">
        <v>44952</v>
      </c>
      <c r="B11">
        <v>98.239998</v>
      </c>
      <c r="C11">
        <v>99.489998</v>
      </c>
      <c r="D11">
        <v>96.919998000000007</v>
      </c>
      <c r="E11">
        <v>99.220000999999996</v>
      </c>
      <c r="F11">
        <v>99.220000999999996</v>
      </c>
      <c r="G11">
        <v>68523600</v>
      </c>
      <c r="H11" t="str">
        <f>TEXT(Table2[[#This Row],[Date]],"ddd")</f>
        <v>Thu</v>
      </c>
      <c r="I11" t="str">
        <f>TEXT(Table2[[#This Row],[Date]],"mmmm")</f>
        <v>January</v>
      </c>
      <c r="J11" t="str">
        <f>TEXT(Table2[[#This Row],[Date]],"yyyy")</f>
        <v>2023</v>
      </c>
    </row>
    <row r="12" spans="1:10" x14ac:dyDescent="0.3">
      <c r="A12" s="1">
        <v>44953</v>
      </c>
      <c r="B12">
        <v>99.529999000000004</v>
      </c>
      <c r="C12">
        <v>103.489998</v>
      </c>
      <c r="D12">
        <v>99.529999000000004</v>
      </c>
      <c r="E12">
        <v>102.239998</v>
      </c>
      <c r="F12">
        <v>102.239998</v>
      </c>
      <c r="G12">
        <v>87775600</v>
      </c>
      <c r="H12" t="str">
        <f>TEXT(Table2[[#This Row],[Date]],"ddd")</f>
        <v>Fri</v>
      </c>
      <c r="I12" t="str">
        <f>TEXT(Table2[[#This Row],[Date]],"mmmm")</f>
        <v>January</v>
      </c>
      <c r="J12" t="str">
        <f>TEXT(Table2[[#This Row],[Date]],"yyyy")</f>
        <v>2023</v>
      </c>
    </row>
    <row r="13" spans="1:10" x14ac:dyDescent="0.3">
      <c r="A13" s="1">
        <v>44956</v>
      </c>
      <c r="B13">
        <v>101.089996</v>
      </c>
      <c r="C13">
        <v>101.739998</v>
      </c>
      <c r="D13">
        <v>99.010002</v>
      </c>
      <c r="E13">
        <v>100.550003</v>
      </c>
      <c r="F13">
        <v>100.550003</v>
      </c>
      <c r="G13">
        <v>70691900</v>
      </c>
      <c r="H13" t="str">
        <f>TEXT(Table2[[#This Row],[Date]],"ddd")</f>
        <v>Mon</v>
      </c>
      <c r="I13" t="str">
        <f>TEXT(Table2[[#This Row],[Date]],"mmmm")</f>
        <v>January</v>
      </c>
      <c r="J13" t="str">
        <f>TEXT(Table2[[#This Row],[Date]],"yyyy")</f>
        <v>2023</v>
      </c>
    </row>
    <row r="14" spans="1:10" x14ac:dyDescent="0.3">
      <c r="A14" s="1">
        <v>44957</v>
      </c>
      <c r="B14">
        <v>101.160004</v>
      </c>
      <c r="C14">
        <v>103.349998</v>
      </c>
      <c r="D14">
        <v>101.139999</v>
      </c>
      <c r="E14">
        <v>103.129997</v>
      </c>
      <c r="F14">
        <v>103.129997</v>
      </c>
      <c r="G14">
        <v>66527300</v>
      </c>
      <c r="H14" t="str">
        <f>TEXT(Table2[[#This Row],[Date]],"ddd")</f>
        <v>Tue</v>
      </c>
      <c r="I14" t="str">
        <f>TEXT(Table2[[#This Row],[Date]],"mmmm")</f>
        <v>January</v>
      </c>
      <c r="J14" t="str">
        <f>TEXT(Table2[[#This Row],[Date]],"yyyy")</f>
        <v>2023</v>
      </c>
    </row>
    <row r="15" spans="1:10" x14ac:dyDescent="0.3">
      <c r="A15" s="1">
        <v>44958</v>
      </c>
      <c r="B15">
        <v>102.529999</v>
      </c>
      <c r="C15">
        <v>106.239998</v>
      </c>
      <c r="D15">
        <v>101.239998</v>
      </c>
      <c r="E15">
        <v>105.150002</v>
      </c>
      <c r="F15">
        <v>105.150002</v>
      </c>
      <c r="G15">
        <v>80450100</v>
      </c>
      <c r="H15" t="str">
        <f>TEXT(Table2[[#This Row],[Date]],"ddd")</f>
        <v>Wed</v>
      </c>
      <c r="I15" t="str">
        <f>TEXT(Table2[[#This Row],[Date]],"mmmm")</f>
        <v>February</v>
      </c>
      <c r="J15" t="str">
        <f>TEXT(Table2[[#This Row],[Date]],"yyyy")</f>
        <v>2023</v>
      </c>
    </row>
    <row r="16" spans="1:10" x14ac:dyDescent="0.3">
      <c r="A16" s="1">
        <v>44959</v>
      </c>
      <c r="B16">
        <v>110.25</v>
      </c>
      <c r="C16">
        <v>114</v>
      </c>
      <c r="D16">
        <v>108.879997</v>
      </c>
      <c r="E16">
        <v>112.910004</v>
      </c>
      <c r="F16">
        <v>112.910004</v>
      </c>
      <c r="G16">
        <v>158154200</v>
      </c>
      <c r="H16" t="str">
        <f>TEXT(Table2[[#This Row],[Date]],"ddd")</f>
        <v>Thu</v>
      </c>
      <c r="I16" t="str">
        <f>TEXT(Table2[[#This Row],[Date]],"mmmm")</f>
        <v>February</v>
      </c>
      <c r="J16" t="str">
        <f>TEXT(Table2[[#This Row],[Date]],"yyyy")</f>
        <v>2023</v>
      </c>
    </row>
    <row r="17" spans="1:10" x14ac:dyDescent="0.3">
      <c r="A17" s="1">
        <v>44960</v>
      </c>
      <c r="B17">
        <v>105.260002</v>
      </c>
      <c r="C17">
        <v>108.779999</v>
      </c>
      <c r="D17">
        <v>102.519997</v>
      </c>
      <c r="E17">
        <v>103.389999</v>
      </c>
      <c r="F17">
        <v>103.389999</v>
      </c>
      <c r="G17">
        <v>144374800</v>
      </c>
      <c r="H17" t="str">
        <f>TEXT(Table2[[#This Row],[Date]],"ddd")</f>
        <v>Fri</v>
      </c>
      <c r="I17" t="str">
        <f>TEXT(Table2[[#This Row],[Date]],"mmmm")</f>
        <v>February</v>
      </c>
      <c r="J17" t="str">
        <f>TEXT(Table2[[#This Row],[Date]],"yyyy")</f>
        <v>2023</v>
      </c>
    </row>
    <row r="18" spans="1:10" x14ac:dyDescent="0.3">
      <c r="A18" s="1">
        <v>44963</v>
      </c>
      <c r="B18">
        <v>102.93</v>
      </c>
      <c r="C18">
        <v>103.949997</v>
      </c>
      <c r="D18">
        <v>100.650002</v>
      </c>
      <c r="E18">
        <v>102.18</v>
      </c>
      <c r="F18">
        <v>102.18</v>
      </c>
      <c r="G18">
        <v>81945200</v>
      </c>
      <c r="H18" t="str">
        <f>TEXT(Table2[[#This Row],[Date]],"ddd")</f>
        <v>Mon</v>
      </c>
      <c r="I18" t="str">
        <f>TEXT(Table2[[#This Row],[Date]],"mmmm")</f>
        <v>February</v>
      </c>
      <c r="J18" t="str">
        <f>TEXT(Table2[[#This Row],[Date]],"yyyy")</f>
        <v>2023</v>
      </c>
    </row>
    <row r="19" spans="1:10" x14ac:dyDescent="0.3">
      <c r="A19" s="1">
        <v>44964</v>
      </c>
      <c r="B19">
        <v>101.16999800000001</v>
      </c>
      <c r="C19">
        <v>102.410004</v>
      </c>
      <c r="D19">
        <v>98.080001999999993</v>
      </c>
      <c r="E19">
        <v>102.110001</v>
      </c>
      <c r="F19">
        <v>102.110001</v>
      </c>
      <c r="G19">
        <v>119501300</v>
      </c>
      <c r="H19" t="str">
        <f>TEXT(Table2[[#This Row],[Date]],"ddd")</f>
        <v>Tue</v>
      </c>
      <c r="I19" t="str">
        <f>TEXT(Table2[[#This Row],[Date]],"mmmm")</f>
        <v>February</v>
      </c>
      <c r="J19" t="str">
        <f>TEXT(Table2[[#This Row],[Date]],"yyyy")</f>
        <v>2023</v>
      </c>
    </row>
    <row r="20" spans="1:10" x14ac:dyDescent="0.3">
      <c r="A20" s="1">
        <v>44965</v>
      </c>
      <c r="B20">
        <v>102.040001</v>
      </c>
      <c r="C20">
        <v>102.66999800000001</v>
      </c>
      <c r="D20">
        <v>98.779999000000004</v>
      </c>
      <c r="E20">
        <v>100.050003</v>
      </c>
      <c r="F20">
        <v>100.050003</v>
      </c>
      <c r="G20">
        <v>75878300</v>
      </c>
      <c r="H20" t="str">
        <f>TEXT(Table2[[#This Row],[Date]],"ddd")</f>
        <v>Wed</v>
      </c>
      <c r="I20" t="str">
        <f>TEXT(Table2[[#This Row],[Date]],"mmmm")</f>
        <v>February</v>
      </c>
      <c r="J20" t="str">
        <f>TEXT(Table2[[#This Row],[Date]],"yyyy")</f>
        <v>2023</v>
      </c>
    </row>
    <row r="21" spans="1:10" x14ac:dyDescent="0.3">
      <c r="A21" s="1">
        <v>44966</v>
      </c>
      <c r="B21">
        <v>101.32</v>
      </c>
      <c r="C21">
        <v>101.779999</v>
      </c>
      <c r="D21">
        <v>97.57</v>
      </c>
      <c r="E21">
        <v>98.239998</v>
      </c>
      <c r="F21">
        <v>98.239998</v>
      </c>
      <c r="G21">
        <v>64622500</v>
      </c>
      <c r="H21" t="str">
        <f>TEXT(Table2[[#This Row],[Date]],"ddd")</f>
        <v>Thu</v>
      </c>
      <c r="I21" t="str">
        <f>TEXT(Table2[[#This Row],[Date]],"mmmm")</f>
        <v>February</v>
      </c>
      <c r="J21" t="str">
        <f>TEXT(Table2[[#This Row],[Date]],"yyyy")</f>
        <v>2023</v>
      </c>
    </row>
    <row r="22" spans="1:10" x14ac:dyDescent="0.3">
      <c r="A22" s="1">
        <v>44967</v>
      </c>
      <c r="B22">
        <v>97.559997999999993</v>
      </c>
      <c r="C22">
        <v>98.82</v>
      </c>
      <c r="D22">
        <v>96.230002999999996</v>
      </c>
      <c r="E22">
        <v>97.610000999999997</v>
      </c>
      <c r="F22">
        <v>97.610000999999997</v>
      </c>
      <c r="G22">
        <v>52740100</v>
      </c>
      <c r="H22" t="str">
        <f>TEXT(Table2[[#This Row],[Date]],"ddd")</f>
        <v>Fri</v>
      </c>
      <c r="I22" t="str">
        <f>TEXT(Table2[[#This Row],[Date]],"mmmm")</f>
        <v>February</v>
      </c>
      <c r="J22" t="str">
        <f>TEXT(Table2[[#This Row],[Date]],"yyyy")</f>
        <v>2023</v>
      </c>
    </row>
    <row r="23" spans="1:10" x14ac:dyDescent="0.3">
      <c r="A23" s="1">
        <v>44970</v>
      </c>
      <c r="B23">
        <v>97.849997999999999</v>
      </c>
      <c r="C23">
        <v>99.68</v>
      </c>
      <c r="D23">
        <v>96.910004000000001</v>
      </c>
      <c r="E23">
        <v>99.540001000000004</v>
      </c>
      <c r="F23">
        <v>99.540001000000004</v>
      </c>
      <c r="G23">
        <v>52841500</v>
      </c>
      <c r="H23" t="str">
        <f>TEXT(Table2[[#This Row],[Date]],"ddd")</f>
        <v>Mon</v>
      </c>
      <c r="I23" t="str">
        <f>TEXT(Table2[[#This Row],[Date]],"mmmm")</f>
        <v>February</v>
      </c>
      <c r="J23" t="str">
        <f>TEXT(Table2[[#This Row],[Date]],"yyyy")</f>
        <v>2023</v>
      </c>
    </row>
    <row r="24" spans="1:10" x14ac:dyDescent="0.3">
      <c r="A24" s="1">
        <v>44971</v>
      </c>
      <c r="B24">
        <v>98.410004000000001</v>
      </c>
      <c r="C24">
        <v>100.91999800000001</v>
      </c>
      <c r="D24">
        <v>97.519997000000004</v>
      </c>
      <c r="E24">
        <v>99.699996999999996</v>
      </c>
      <c r="F24">
        <v>99.699996999999996</v>
      </c>
      <c r="G24">
        <v>56202900</v>
      </c>
      <c r="H24" t="str">
        <f>TEXT(Table2[[#This Row],[Date]],"ddd")</f>
        <v>Tue</v>
      </c>
      <c r="I24" t="str">
        <f>TEXT(Table2[[#This Row],[Date]],"mmmm")</f>
        <v>February</v>
      </c>
      <c r="J24" t="str">
        <f>TEXT(Table2[[#This Row],[Date]],"yyyy")</f>
        <v>2023</v>
      </c>
    </row>
    <row r="25" spans="1:10" x14ac:dyDescent="0.3">
      <c r="A25" s="1">
        <v>44972</v>
      </c>
      <c r="B25">
        <v>99.089995999999999</v>
      </c>
      <c r="C25">
        <v>101.16999800000001</v>
      </c>
      <c r="D25">
        <v>98.449996999999996</v>
      </c>
      <c r="E25">
        <v>101.160004</v>
      </c>
      <c r="F25">
        <v>101.160004</v>
      </c>
      <c r="G25">
        <v>47957600</v>
      </c>
      <c r="H25" t="str">
        <f>TEXT(Table2[[#This Row],[Date]],"ddd")</f>
        <v>Wed</v>
      </c>
      <c r="I25" t="str">
        <f>TEXT(Table2[[#This Row],[Date]],"mmmm")</f>
        <v>February</v>
      </c>
      <c r="J25" t="str">
        <f>TEXT(Table2[[#This Row],[Date]],"yyyy")</f>
        <v>2023</v>
      </c>
    </row>
    <row r="26" spans="1:10" x14ac:dyDescent="0.3">
      <c r="A26" s="1">
        <v>44973</v>
      </c>
      <c r="B26">
        <v>99.209998999999996</v>
      </c>
      <c r="C26">
        <v>100.629997</v>
      </c>
      <c r="D26">
        <v>98.099997999999999</v>
      </c>
      <c r="E26">
        <v>98.150002000000001</v>
      </c>
      <c r="F26">
        <v>98.150002000000001</v>
      </c>
      <c r="G26">
        <v>56339200</v>
      </c>
      <c r="H26" t="str">
        <f>TEXT(Table2[[#This Row],[Date]],"ddd")</f>
        <v>Thu</v>
      </c>
      <c r="I26" t="str">
        <f>TEXT(Table2[[#This Row],[Date]],"mmmm")</f>
        <v>February</v>
      </c>
      <c r="J26" t="str">
        <f>TEXT(Table2[[#This Row],[Date]],"yyyy")</f>
        <v>2023</v>
      </c>
    </row>
    <row r="27" spans="1:10" x14ac:dyDescent="0.3">
      <c r="A27" s="1">
        <v>44974</v>
      </c>
      <c r="B27">
        <v>97.800003000000004</v>
      </c>
      <c r="C27">
        <v>97.940002000000007</v>
      </c>
      <c r="D27">
        <v>95.650002000000001</v>
      </c>
      <c r="E27">
        <v>97.199996999999996</v>
      </c>
      <c r="F27">
        <v>97.199996999999996</v>
      </c>
      <c r="G27">
        <v>60029400</v>
      </c>
      <c r="H27" t="str">
        <f>TEXT(Table2[[#This Row],[Date]],"ddd")</f>
        <v>Fri</v>
      </c>
      <c r="I27" t="str">
        <f>TEXT(Table2[[#This Row],[Date]],"mmmm")</f>
        <v>February</v>
      </c>
      <c r="J27" t="str">
        <f>TEXT(Table2[[#This Row],[Date]],"yyyy")</f>
        <v>2023</v>
      </c>
    </row>
    <row r="28" spans="1:10" x14ac:dyDescent="0.3">
      <c r="A28" s="1">
        <v>44978</v>
      </c>
      <c r="B28">
        <v>95.339995999999999</v>
      </c>
      <c r="C28">
        <v>95.610000999999997</v>
      </c>
      <c r="D28">
        <v>94.269997000000004</v>
      </c>
      <c r="E28">
        <v>94.580001999999993</v>
      </c>
      <c r="F28">
        <v>94.580001999999993</v>
      </c>
      <c r="G28">
        <v>56580400</v>
      </c>
      <c r="H28" t="str">
        <f>TEXT(Table2[[#This Row],[Date]],"ddd")</f>
        <v>Tue</v>
      </c>
      <c r="I28" t="str">
        <f>TEXT(Table2[[#This Row],[Date]],"mmmm")</f>
        <v>February</v>
      </c>
      <c r="J28" t="str">
        <f>TEXT(Table2[[#This Row],[Date]],"yyyy")</f>
        <v>2023</v>
      </c>
    </row>
    <row r="29" spans="1:10" x14ac:dyDescent="0.3">
      <c r="A29" s="1">
        <v>44979</v>
      </c>
      <c r="B29">
        <v>95.099997999999999</v>
      </c>
      <c r="C29">
        <v>97.010002</v>
      </c>
      <c r="D29">
        <v>94.800003000000004</v>
      </c>
      <c r="E29">
        <v>95.790001000000004</v>
      </c>
      <c r="F29">
        <v>95.790001000000004</v>
      </c>
      <c r="G29">
        <v>59534100</v>
      </c>
      <c r="H29" t="str">
        <f>TEXT(Table2[[#This Row],[Date]],"ddd")</f>
        <v>Wed</v>
      </c>
      <c r="I29" t="str">
        <f>TEXT(Table2[[#This Row],[Date]],"mmmm")</f>
        <v>February</v>
      </c>
      <c r="J29" t="str">
        <f>TEXT(Table2[[#This Row],[Date]],"yyyy")</f>
        <v>2023</v>
      </c>
    </row>
    <row r="30" spans="1:10" x14ac:dyDescent="0.3">
      <c r="A30" s="1">
        <v>44980</v>
      </c>
      <c r="B30">
        <v>96.120002999999997</v>
      </c>
      <c r="C30">
        <v>96.43</v>
      </c>
      <c r="D30">
        <v>93.669998000000007</v>
      </c>
      <c r="E30">
        <v>95.82</v>
      </c>
      <c r="F30">
        <v>95.82</v>
      </c>
      <c r="G30">
        <v>48467000</v>
      </c>
      <c r="H30" t="str">
        <f>TEXT(Table2[[#This Row],[Date]],"ddd")</f>
        <v>Thu</v>
      </c>
      <c r="I30" t="str">
        <f>TEXT(Table2[[#This Row],[Date]],"mmmm")</f>
        <v>February</v>
      </c>
      <c r="J30" t="str">
        <f>TEXT(Table2[[#This Row],[Date]],"yyyy")</f>
        <v>2023</v>
      </c>
    </row>
    <row r="31" spans="1:10" x14ac:dyDescent="0.3">
      <c r="A31" s="1">
        <v>44981</v>
      </c>
      <c r="B31">
        <v>93.529999000000004</v>
      </c>
      <c r="C31">
        <v>94.139999000000003</v>
      </c>
      <c r="D31">
        <v>92.32</v>
      </c>
      <c r="E31">
        <v>93.5</v>
      </c>
      <c r="F31">
        <v>93.5</v>
      </c>
      <c r="G31">
        <v>57053800</v>
      </c>
      <c r="H31" t="str">
        <f>TEXT(Table2[[#This Row],[Date]],"ddd")</f>
        <v>Fri</v>
      </c>
      <c r="I31" t="str">
        <f>TEXT(Table2[[#This Row],[Date]],"mmmm")</f>
        <v>February</v>
      </c>
      <c r="J31" t="str">
        <f>TEXT(Table2[[#This Row],[Date]],"yyyy")</f>
        <v>2023</v>
      </c>
    </row>
    <row r="32" spans="1:10" x14ac:dyDescent="0.3">
      <c r="A32" s="1">
        <v>44984</v>
      </c>
      <c r="B32">
        <v>94.279999000000004</v>
      </c>
      <c r="C32">
        <v>94.779999000000004</v>
      </c>
      <c r="D32">
        <v>93.139999000000003</v>
      </c>
      <c r="E32">
        <v>93.760002</v>
      </c>
      <c r="F32">
        <v>93.760002</v>
      </c>
      <c r="G32">
        <v>47470300</v>
      </c>
      <c r="H32" t="str">
        <f>TEXT(Table2[[#This Row],[Date]],"ddd")</f>
        <v>Mon</v>
      </c>
      <c r="I32" t="str">
        <f>TEXT(Table2[[#This Row],[Date]],"mmmm")</f>
        <v>February</v>
      </c>
      <c r="J32" t="str">
        <f>TEXT(Table2[[#This Row],[Date]],"yyyy")</f>
        <v>2023</v>
      </c>
    </row>
    <row r="33" spans="1:10" x14ac:dyDescent="0.3">
      <c r="A33" s="1">
        <v>44985</v>
      </c>
      <c r="B33">
        <v>93.139999000000003</v>
      </c>
      <c r="C33">
        <v>94.690002000000007</v>
      </c>
      <c r="D33">
        <v>92.919998000000007</v>
      </c>
      <c r="E33">
        <v>94.230002999999996</v>
      </c>
      <c r="F33">
        <v>94.230002999999996</v>
      </c>
      <c r="G33">
        <v>43959300</v>
      </c>
      <c r="H33" t="str">
        <f>TEXT(Table2[[#This Row],[Date]],"ddd")</f>
        <v>Tue</v>
      </c>
      <c r="I33" t="str">
        <f>TEXT(Table2[[#This Row],[Date]],"mmmm")</f>
        <v>February</v>
      </c>
      <c r="J33" t="str">
        <f>TEXT(Table2[[#This Row],[Date]],"yyyy")</f>
        <v>2023</v>
      </c>
    </row>
    <row r="34" spans="1:10" x14ac:dyDescent="0.3">
      <c r="A34" s="1">
        <v>44986</v>
      </c>
      <c r="B34">
        <v>93.870002999999997</v>
      </c>
      <c r="C34">
        <v>94.68</v>
      </c>
      <c r="D34">
        <v>91.589995999999999</v>
      </c>
      <c r="E34">
        <v>92.169998000000007</v>
      </c>
      <c r="F34">
        <v>92.169998000000007</v>
      </c>
      <c r="G34">
        <v>52299500</v>
      </c>
      <c r="H34" t="str">
        <f>TEXT(Table2[[#This Row],[Date]],"ddd")</f>
        <v>Wed</v>
      </c>
      <c r="I34" t="str">
        <f>TEXT(Table2[[#This Row],[Date]],"mmmm")</f>
        <v>March</v>
      </c>
      <c r="J34" t="str">
        <f>TEXT(Table2[[#This Row],[Date]],"yyyy")</f>
        <v>2023</v>
      </c>
    </row>
    <row r="35" spans="1:10" x14ac:dyDescent="0.3">
      <c r="A35" s="1">
        <v>44987</v>
      </c>
      <c r="B35">
        <v>91.410004000000001</v>
      </c>
      <c r="C35">
        <v>92.230002999999996</v>
      </c>
      <c r="D35">
        <v>90.389999000000003</v>
      </c>
      <c r="E35">
        <v>92.129997000000003</v>
      </c>
      <c r="F35">
        <v>92.129997000000003</v>
      </c>
      <c r="G35">
        <v>55509400</v>
      </c>
      <c r="H35" t="str">
        <f>TEXT(Table2[[#This Row],[Date]],"ddd")</f>
        <v>Thu</v>
      </c>
      <c r="I35" t="str">
        <f>TEXT(Table2[[#This Row],[Date]],"mmmm")</f>
        <v>March</v>
      </c>
      <c r="J35" t="str">
        <f>TEXT(Table2[[#This Row],[Date]],"yyyy")</f>
        <v>2023</v>
      </c>
    </row>
    <row r="36" spans="1:10" x14ac:dyDescent="0.3">
      <c r="A36" s="1">
        <v>44988</v>
      </c>
      <c r="B36">
        <v>92.739998</v>
      </c>
      <c r="C36">
        <v>94.940002000000007</v>
      </c>
      <c r="D36">
        <v>92.660004000000001</v>
      </c>
      <c r="E36">
        <v>94.900002000000001</v>
      </c>
      <c r="F36">
        <v>94.900002000000001</v>
      </c>
      <c r="G36">
        <v>55759600</v>
      </c>
      <c r="H36" t="str">
        <f>TEXT(Table2[[#This Row],[Date]],"ddd")</f>
        <v>Fri</v>
      </c>
      <c r="I36" t="str">
        <f>TEXT(Table2[[#This Row],[Date]],"mmmm")</f>
        <v>March</v>
      </c>
      <c r="J36" t="str">
        <f>TEXT(Table2[[#This Row],[Date]],"yyyy")</f>
        <v>2023</v>
      </c>
    </row>
    <row r="37" spans="1:10" x14ac:dyDescent="0.3">
      <c r="A37" s="1">
        <v>44991</v>
      </c>
      <c r="B37">
        <v>95.190002000000007</v>
      </c>
      <c r="C37">
        <v>96.550003000000004</v>
      </c>
      <c r="D37">
        <v>93.739998</v>
      </c>
      <c r="E37">
        <v>93.75</v>
      </c>
      <c r="F37">
        <v>93.75</v>
      </c>
      <c r="G37">
        <v>52112400</v>
      </c>
      <c r="H37" t="str">
        <f>TEXT(Table2[[#This Row],[Date]],"ddd")</f>
        <v>Mon</v>
      </c>
      <c r="I37" t="str">
        <f>TEXT(Table2[[#This Row],[Date]],"mmmm")</f>
        <v>March</v>
      </c>
      <c r="J37" t="str">
        <f>TEXT(Table2[[#This Row],[Date]],"yyyy")</f>
        <v>2023</v>
      </c>
    </row>
    <row r="38" spans="1:10" x14ac:dyDescent="0.3">
      <c r="A38" s="1">
        <v>44992</v>
      </c>
      <c r="B38">
        <v>94.059997999999993</v>
      </c>
      <c r="C38">
        <v>95.089995999999999</v>
      </c>
      <c r="D38">
        <v>92.779999000000004</v>
      </c>
      <c r="E38">
        <v>93.550003000000004</v>
      </c>
      <c r="F38">
        <v>93.550003000000004</v>
      </c>
      <c r="G38">
        <v>49100700</v>
      </c>
      <c r="H38" t="str">
        <f>TEXT(Table2[[#This Row],[Date]],"ddd")</f>
        <v>Tue</v>
      </c>
      <c r="I38" t="str">
        <f>TEXT(Table2[[#This Row],[Date]],"mmmm")</f>
        <v>March</v>
      </c>
      <c r="J38" t="str">
        <f>TEXT(Table2[[#This Row],[Date]],"yyyy")</f>
        <v>2023</v>
      </c>
    </row>
    <row r="39" spans="1:10" x14ac:dyDescent="0.3">
      <c r="A39" s="1">
        <v>44993</v>
      </c>
      <c r="B39">
        <v>93.599997999999999</v>
      </c>
      <c r="C39">
        <v>94.169998000000007</v>
      </c>
      <c r="D39">
        <v>92.18</v>
      </c>
      <c r="E39">
        <v>93.919998000000007</v>
      </c>
      <c r="F39">
        <v>93.919998000000007</v>
      </c>
      <c r="G39">
        <v>44899100</v>
      </c>
      <c r="H39" t="str">
        <f>TEXT(Table2[[#This Row],[Date]],"ddd")</f>
        <v>Wed</v>
      </c>
      <c r="I39" t="str">
        <f>TEXT(Table2[[#This Row],[Date]],"mmmm")</f>
        <v>March</v>
      </c>
      <c r="J39" t="str">
        <f>TEXT(Table2[[#This Row],[Date]],"yyyy")</f>
        <v>2023</v>
      </c>
    </row>
    <row r="40" spans="1:10" x14ac:dyDescent="0.3">
      <c r="A40" s="1">
        <v>44994</v>
      </c>
      <c r="B40">
        <v>93.68</v>
      </c>
      <c r="C40">
        <v>96.209998999999996</v>
      </c>
      <c r="D40">
        <v>92.18</v>
      </c>
      <c r="E40">
        <v>92.25</v>
      </c>
      <c r="F40">
        <v>92.25</v>
      </c>
      <c r="G40">
        <v>56218700</v>
      </c>
      <c r="H40" t="str">
        <f>TEXT(Table2[[#This Row],[Date]],"ddd")</f>
        <v>Thu</v>
      </c>
      <c r="I40" t="str">
        <f>TEXT(Table2[[#This Row],[Date]],"mmmm")</f>
        <v>March</v>
      </c>
      <c r="J40" t="str">
        <f>TEXT(Table2[[#This Row],[Date]],"yyyy")</f>
        <v>2023</v>
      </c>
    </row>
    <row r="41" spans="1:10" x14ac:dyDescent="0.3">
      <c r="A41" s="1">
        <v>44995</v>
      </c>
      <c r="B41">
        <v>92.669998000000007</v>
      </c>
      <c r="C41">
        <v>93.57</v>
      </c>
      <c r="D41">
        <v>90.25</v>
      </c>
      <c r="E41">
        <v>90.730002999999996</v>
      </c>
      <c r="F41">
        <v>90.730002999999996</v>
      </c>
      <c r="G41">
        <v>69827500</v>
      </c>
      <c r="H41" t="str">
        <f>TEXT(Table2[[#This Row],[Date]],"ddd")</f>
        <v>Fri</v>
      </c>
      <c r="I41" t="str">
        <f>TEXT(Table2[[#This Row],[Date]],"mmmm")</f>
        <v>March</v>
      </c>
      <c r="J41" t="str">
        <f>TEXT(Table2[[#This Row],[Date]],"yyyy")</f>
        <v>2023</v>
      </c>
    </row>
    <row r="42" spans="1:10" x14ac:dyDescent="0.3">
      <c r="A42" s="1">
        <v>44998</v>
      </c>
      <c r="B42">
        <v>89.970000999999996</v>
      </c>
      <c r="C42">
        <v>94.019997000000004</v>
      </c>
      <c r="D42">
        <v>88.120002999999997</v>
      </c>
      <c r="E42">
        <v>92.43</v>
      </c>
      <c r="F42">
        <v>92.43</v>
      </c>
      <c r="G42">
        <v>72397100</v>
      </c>
      <c r="H42" t="str">
        <f>TEXT(Table2[[#This Row],[Date]],"ddd")</f>
        <v>Mon</v>
      </c>
      <c r="I42" t="str">
        <f>TEXT(Table2[[#This Row],[Date]],"mmmm")</f>
        <v>March</v>
      </c>
      <c r="J42" t="str">
        <f>TEXT(Table2[[#This Row],[Date]],"yyyy")</f>
        <v>2023</v>
      </c>
    </row>
    <row r="43" spans="1:10" x14ac:dyDescent="0.3">
      <c r="A43" s="1">
        <v>44999</v>
      </c>
      <c r="B43">
        <v>93.830001999999993</v>
      </c>
      <c r="C43">
        <v>95.07</v>
      </c>
      <c r="D43">
        <v>92.709998999999996</v>
      </c>
      <c r="E43">
        <v>94.879997000000003</v>
      </c>
      <c r="F43">
        <v>94.879997000000003</v>
      </c>
      <c r="G43">
        <v>60912700</v>
      </c>
      <c r="H43" t="str">
        <f>TEXT(Table2[[#This Row],[Date]],"ddd")</f>
        <v>Tue</v>
      </c>
      <c r="I43" t="str">
        <f>TEXT(Table2[[#This Row],[Date]],"mmmm")</f>
        <v>March</v>
      </c>
      <c r="J43" t="str">
        <f>TEXT(Table2[[#This Row],[Date]],"yyyy")</f>
        <v>2023</v>
      </c>
    </row>
    <row r="44" spans="1:10" x14ac:dyDescent="0.3">
      <c r="A44" s="1">
        <v>45000</v>
      </c>
      <c r="B44">
        <v>93.220000999999996</v>
      </c>
      <c r="C44">
        <v>96.669998000000007</v>
      </c>
      <c r="D44">
        <v>93.07</v>
      </c>
      <c r="E44">
        <v>96.199996999999996</v>
      </c>
      <c r="F44">
        <v>96.199996999999996</v>
      </c>
      <c r="G44">
        <v>70731800</v>
      </c>
      <c r="H44" t="str">
        <f>TEXT(Table2[[#This Row],[Date]],"ddd")</f>
        <v>Wed</v>
      </c>
      <c r="I44" t="str">
        <f>TEXT(Table2[[#This Row],[Date]],"mmmm")</f>
        <v>March</v>
      </c>
      <c r="J44" t="str">
        <f>TEXT(Table2[[#This Row],[Date]],"yyyy")</f>
        <v>2023</v>
      </c>
    </row>
    <row r="45" spans="1:10" x14ac:dyDescent="0.3">
      <c r="A45" s="1">
        <v>45001</v>
      </c>
      <c r="B45">
        <v>95.75</v>
      </c>
      <c r="C45">
        <v>100.989998</v>
      </c>
      <c r="D45">
        <v>95.610000999999997</v>
      </c>
      <c r="E45">
        <v>100.040001</v>
      </c>
      <c r="F45">
        <v>100.040001</v>
      </c>
      <c r="G45">
        <v>84446900</v>
      </c>
      <c r="H45" t="str">
        <f>TEXT(Table2[[#This Row],[Date]],"ddd")</f>
        <v>Thu</v>
      </c>
      <c r="I45" t="str">
        <f>TEXT(Table2[[#This Row],[Date]],"mmmm")</f>
        <v>March</v>
      </c>
      <c r="J45" t="str">
        <f>TEXT(Table2[[#This Row],[Date]],"yyyy")</f>
        <v>2023</v>
      </c>
    </row>
    <row r="46" spans="1:10" x14ac:dyDescent="0.3">
      <c r="A46" s="1">
        <v>45002</v>
      </c>
      <c r="B46">
        <v>99.790001000000004</v>
      </c>
      <c r="C46">
        <v>100.660004</v>
      </c>
      <c r="D46">
        <v>97.459998999999996</v>
      </c>
      <c r="E46">
        <v>98.949996999999996</v>
      </c>
      <c r="F46">
        <v>98.949996999999996</v>
      </c>
      <c r="G46">
        <v>87300200</v>
      </c>
      <c r="H46" t="str">
        <f>TEXT(Table2[[#This Row],[Date]],"ddd")</f>
        <v>Fri</v>
      </c>
      <c r="I46" t="str">
        <f>TEXT(Table2[[#This Row],[Date]],"mmmm")</f>
        <v>March</v>
      </c>
      <c r="J46" t="str">
        <f>TEXT(Table2[[#This Row],[Date]],"yyyy")</f>
        <v>2023</v>
      </c>
    </row>
    <row r="47" spans="1:10" x14ac:dyDescent="0.3">
      <c r="A47" s="1">
        <v>45005</v>
      </c>
      <c r="B47">
        <v>98.410004000000001</v>
      </c>
      <c r="C47">
        <v>98.480002999999996</v>
      </c>
      <c r="D47">
        <v>95.699996999999996</v>
      </c>
      <c r="E47">
        <v>97.709998999999996</v>
      </c>
      <c r="F47">
        <v>97.709998999999996</v>
      </c>
      <c r="G47">
        <v>62388900</v>
      </c>
      <c r="H47" t="str">
        <f>TEXT(Table2[[#This Row],[Date]],"ddd")</f>
        <v>Mon</v>
      </c>
      <c r="I47" t="str">
        <f>TEXT(Table2[[#This Row],[Date]],"mmmm")</f>
        <v>March</v>
      </c>
      <c r="J47" t="str">
        <f>TEXT(Table2[[#This Row],[Date]],"yyyy")</f>
        <v>2023</v>
      </c>
    </row>
    <row r="48" spans="1:10" x14ac:dyDescent="0.3">
      <c r="A48" s="1">
        <v>45006</v>
      </c>
      <c r="B48">
        <v>98.139999000000003</v>
      </c>
      <c r="C48">
        <v>100.849998</v>
      </c>
      <c r="D48">
        <v>98</v>
      </c>
      <c r="E48">
        <v>100.610001</v>
      </c>
      <c r="F48">
        <v>100.610001</v>
      </c>
      <c r="G48">
        <v>58597300</v>
      </c>
      <c r="H48" t="str">
        <f>TEXT(Table2[[#This Row],[Date]],"ddd")</f>
        <v>Tue</v>
      </c>
      <c r="I48" t="str">
        <f>TEXT(Table2[[#This Row],[Date]],"mmmm")</f>
        <v>March</v>
      </c>
      <c r="J48" t="str">
        <f>TEXT(Table2[[#This Row],[Date]],"yyyy")</f>
        <v>2023</v>
      </c>
    </row>
    <row r="49" spans="1:10" x14ac:dyDescent="0.3">
      <c r="A49" s="1">
        <v>45007</v>
      </c>
      <c r="B49">
        <v>100.449997</v>
      </c>
      <c r="C49">
        <v>102.099998</v>
      </c>
      <c r="D49">
        <v>98.610000999999997</v>
      </c>
      <c r="E49">
        <v>98.699996999999996</v>
      </c>
      <c r="F49">
        <v>98.699996999999996</v>
      </c>
      <c r="G49">
        <v>57475400</v>
      </c>
      <c r="H49" t="str">
        <f>TEXT(Table2[[#This Row],[Date]],"ddd")</f>
        <v>Wed</v>
      </c>
      <c r="I49" t="str">
        <f>TEXT(Table2[[#This Row],[Date]],"mmmm")</f>
        <v>March</v>
      </c>
      <c r="J49" t="str">
        <f>TEXT(Table2[[#This Row],[Date]],"yyyy")</f>
        <v>2023</v>
      </c>
    </row>
    <row r="50" spans="1:10" x14ac:dyDescent="0.3">
      <c r="A50" s="1">
        <v>45008</v>
      </c>
      <c r="B50">
        <v>100.43</v>
      </c>
      <c r="C50">
        <v>101.05999799999999</v>
      </c>
      <c r="D50">
        <v>97.620002999999997</v>
      </c>
      <c r="E50">
        <v>98.709998999999996</v>
      </c>
      <c r="F50">
        <v>98.709998999999996</v>
      </c>
      <c r="G50">
        <v>57559300</v>
      </c>
      <c r="H50" t="str">
        <f>TEXT(Table2[[#This Row],[Date]],"ddd")</f>
        <v>Thu</v>
      </c>
      <c r="I50" t="str">
        <f>TEXT(Table2[[#This Row],[Date]],"mmmm")</f>
        <v>March</v>
      </c>
      <c r="J50" t="str">
        <f>TEXT(Table2[[#This Row],[Date]],"yyyy")</f>
        <v>2023</v>
      </c>
    </row>
    <row r="51" spans="1:10" x14ac:dyDescent="0.3">
      <c r="A51" s="1">
        <v>45009</v>
      </c>
      <c r="B51">
        <v>98.07</v>
      </c>
      <c r="C51">
        <v>98.300003000000004</v>
      </c>
      <c r="D51">
        <v>96.400002000000001</v>
      </c>
      <c r="E51">
        <v>98.129997000000003</v>
      </c>
      <c r="F51">
        <v>98.129997000000003</v>
      </c>
      <c r="G51">
        <v>56095400</v>
      </c>
      <c r="H51" t="str">
        <f>TEXT(Table2[[#This Row],[Date]],"ddd")</f>
        <v>Fri</v>
      </c>
      <c r="I51" t="str">
        <f>TEXT(Table2[[#This Row],[Date]],"mmmm")</f>
        <v>March</v>
      </c>
      <c r="J51" t="str">
        <f>TEXT(Table2[[#This Row],[Date]],"yyyy")</f>
        <v>2023</v>
      </c>
    </row>
    <row r="52" spans="1:10" x14ac:dyDescent="0.3">
      <c r="A52" s="1">
        <v>45012</v>
      </c>
      <c r="B52">
        <v>99.07</v>
      </c>
      <c r="C52">
        <v>99.339995999999999</v>
      </c>
      <c r="D52">
        <v>97.080001999999993</v>
      </c>
      <c r="E52">
        <v>98.040001000000004</v>
      </c>
      <c r="F52">
        <v>98.040001000000004</v>
      </c>
      <c r="G52">
        <v>46721300</v>
      </c>
      <c r="H52" t="str">
        <f>TEXT(Table2[[#This Row],[Date]],"ddd")</f>
        <v>Mon</v>
      </c>
      <c r="I52" t="str">
        <f>TEXT(Table2[[#This Row],[Date]],"mmmm")</f>
        <v>March</v>
      </c>
      <c r="J52" t="str">
        <f>TEXT(Table2[[#This Row],[Date]],"yyyy")</f>
        <v>2023</v>
      </c>
    </row>
    <row r="53" spans="1:10" x14ac:dyDescent="0.3">
      <c r="A53" s="1">
        <v>45013</v>
      </c>
      <c r="B53">
        <v>98.110000999999997</v>
      </c>
      <c r="C53">
        <v>98.440002000000007</v>
      </c>
      <c r="D53">
        <v>96.290001000000004</v>
      </c>
      <c r="E53">
        <v>97.239998</v>
      </c>
      <c r="F53">
        <v>97.239998</v>
      </c>
      <c r="G53">
        <v>38720100</v>
      </c>
      <c r="H53" t="str">
        <f>TEXT(Table2[[#This Row],[Date]],"ddd")</f>
        <v>Tue</v>
      </c>
      <c r="I53" t="str">
        <f>TEXT(Table2[[#This Row],[Date]],"mmmm")</f>
        <v>March</v>
      </c>
      <c r="J53" t="str">
        <f>TEXT(Table2[[#This Row],[Date]],"yyyy")</f>
        <v>2023</v>
      </c>
    </row>
    <row r="54" spans="1:10" x14ac:dyDescent="0.3">
      <c r="A54" s="1">
        <v>45014</v>
      </c>
      <c r="B54">
        <v>98.690002000000007</v>
      </c>
      <c r="C54">
        <v>100.41999800000001</v>
      </c>
      <c r="D54">
        <v>98.559997999999993</v>
      </c>
      <c r="E54">
        <v>100.25</v>
      </c>
      <c r="F54">
        <v>100.25</v>
      </c>
      <c r="G54">
        <v>49783300</v>
      </c>
      <c r="H54" t="str">
        <f>TEXT(Table2[[#This Row],[Date]],"ddd")</f>
        <v>Wed</v>
      </c>
      <c r="I54" t="str">
        <f>TEXT(Table2[[#This Row],[Date]],"mmmm")</f>
        <v>March</v>
      </c>
      <c r="J54" t="str">
        <f>TEXT(Table2[[#This Row],[Date]],"yyyy")</f>
        <v>2023</v>
      </c>
    </row>
    <row r="55" spans="1:10" x14ac:dyDescent="0.3">
      <c r="A55" s="1">
        <v>45015</v>
      </c>
      <c r="B55">
        <v>101.550003</v>
      </c>
      <c r="C55">
        <v>103.040001</v>
      </c>
      <c r="D55">
        <v>101.010002</v>
      </c>
      <c r="E55">
        <v>102</v>
      </c>
      <c r="F55">
        <v>102</v>
      </c>
      <c r="G55">
        <v>53633400</v>
      </c>
      <c r="H55" t="str">
        <f>TEXT(Table2[[#This Row],[Date]],"ddd")</f>
        <v>Thu</v>
      </c>
      <c r="I55" t="str">
        <f>TEXT(Table2[[#This Row],[Date]],"mmmm")</f>
        <v>March</v>
      </c>
      <c r="J55" t="str">
        <f>TEXT(Table2[[#This Row],[Date]],"yyyy")</f>
        <v>2023</v>
      </c>
    </row>
    <row r="56" spans="1:10" x14ac:dyDescent="0.3">
      <c r="A56" s="1">
        <v>45016</v>
      </c>
      <c r="B56">
        <v>102.160004</v>
      </c>
      <c r="C56">
        <v>103.489998</v>
      </c>
      <c r="D56">
        <v>101.949997</v>
      </c>
      <c r="E56">
        <v>103.290001</v>
      </c>
      <c r="F56">
        <v>103.290001</v>
      </c>
      <c r="G56">
        <v>56750300</v>
      </c>
      <c r="H56" t="str">
        <f>TEXT(Table2[[#This Row],[Date]],"ddd")</f>
        <v>Fri</v>
      </c>
      <c r="I56" t="str">
        <f>TEXT(Table2[[#This Row],[Date]],"mmmm")</f>
        <v>March</v>
      </c>
      <c r="J56" t="str">
        <f>TEXT(Table2[[#This Row],[Date]],"yyyy")</f>
        <v>2023</v>
      </c>
    </row>
    <row r="57" spans="1:10" x14ac:dyDescent="0.3">
      <c r="A57" s="1">
        <v>45019</v>
      </c>
      <c r="B57">
        <v>102.300003</v>
      </c>
      <c r="C57">
        <v>103.290001</v>
      </c>
      <c r="D57">
        <v>101.43</v>
      </c>
      <c r="E57">
        <v>102.410004</v>
      </c>
      <c r="F57">
        <v>102.410004</v>
      </c>
      <c r="G57">
        <v>41135700</v>
      </c>
      <c r="H57" t="str">
        <f>TEXT(Table2[[#This Row],[Date]],"ddd")</f>
        <v>Mon</v>
      </c>
      <c r="I57" t="str">
        <f>TEXT(Table2[[#This Row],[Date]],"mmmm")</f>
        <v>April</v>
      </c>
      <c r="J57" t="str">
        <f>TEXT(Table2[[#This Row],[Date]],"yyyy")</f>
        <v>2023</v>
      </c>
    </row>
    <row r="58" spans="1:10" x14ac:dyDescent="0.3">
      <c r="A58" s="1">
        <v>45020</v>
      </c>
      <c r="B58">
        <v>102.75</v>
      </c>
      <c r="C58">
        <v>104.199997</v>
      </c>
      <c r="D58">
        <v>102.110001</v>
      </c>
      <c r="E58">
        <v>103.949997</v>
      </c>
      <c r="F58">
        <v>103.949997</v>
      </c>
      <c r="G58">
        <v>48662500</v>
      </c>
      <c r="H58" t="str">
        <f>TEXT(Table2[[#This Row],[Date]],"ddd")</f>
        <v>Tue</v>
      </c>
      <c r="I58" t="str">
        <f>TEXT(Table2[[#This Row],[Date]],"mmmm")</f>
        <v>April</v>
      </c>
      <c r="J58" t="str">
        <f>TEXT(Table2[[#This Row],[Date]],"yyyy")</f>
        <v>2023</v>
      </c>
    </row>
    <row r="59" spans="1:10" x14ac:dyDescent="0.3">
      <c r="A59" s="1">
        <v>45021</v>
      </c>
      <c r="B59">
        <v>103.910004</v>
      </c>
      <c r="C59">
        <v>103.910004</v>
      </c>
      <c r="D59">
        <v>100.75</v>
      </c>
      <c r="E59">
        <v>101.099998</v>
      </c>
      <c r="F59">
        <v>101.099998</v>
      </c>
      <c r="G59">
        <v>45175400</v>
      </c>
      <c r="H59" t="str">
        <f>TEXT(Table2[[#This Row],[Date]],"ddd")</f>
        <v>Wed</v>
      </c>
      <c r="I59" t="str">
        <f>TEXT(Table2[[#This Row],[Date]],"mmmm")</f>
        <v>April</v>
      </c>
      <c r="J59" t="str">
        <f>TEXT(Table2[[#This Row],[Date]],"yyyy")</f>
        <v>2023</v>
      </c>
    </row>
    <row r="60" spans="1:10" x14ac:dyDescent="0.3">
      <c r="A60" s="1">
        <v>45022</v>
      </c>
      <c r="B60">
        <v>100.75</v>
      </c>
      <c r="C60">
        <v>102.379997</v>
      </c>
      <c r="D60">
        <v>99.800003000000004</v>
      </c>
      <c r="E60">
        <v>102.05999799999999</v>
      </c>
      <c r="F60">
        <v>102.05999799999999</v>
      </c>
      <c r="G60">
        <v>43808000</v>
      </c>
      <c r="H60" t="str">
        <f>TEXT(Table2[[#This Row],[Date]],"ddd")</f>
        <v>Thu</v>
      </c>
      <c r="I60" t="str">
        <f>TEXT(Table2[[#This Row],[Date]],"mmmm")</f>
        <v>April</v>
      </c>
      <c r="J60" t="str">
        <f>TEXT(Table2[[#This Row],[Date]],"yyyy")</f>
        <v>2023</v>
      </c>
    </row>
    <row r="61" spans="1:10" x14ac:dyDescent="0.3">
      <c r="A61" s="1">
        <v>45026</v>
      </c>
      <c r="B61">
        <v>100.959999</v>
      </c>
      <c r="C61">
        <v>102.199997</v>
      </c>
      <c r="D61">
        <v>99.57</v>
      </c>
      <c r="E61">
        <v>102.16999800000001</v>
      </c>
      <c r="F61">
        <v>102.16999800000001</v>
      </c>
      <c r="G61">
        <v>37261200</v>
      </c>
      <c r="H61" t="str">
        <f>TEXT(Table2[[#This Row],[Date]],"ddd")</f>
        <v>Mon</v>
      </c>
      <c r="I61" t="str">
        <f>TEXT(Table2[[#This Row],[Date]],"mmmm")</f>
        <v>April</v>
      </c>
      <c r="J61" t="str">
        <f>TEXT(Table2[[#This Row],[Date]],"yyyy")</f>
        <v>2023</v>
      </c>
    </row>
    <row r="62" spans="1:10" x14ac:dyDescent="0.3">
      <c r="A62" s="1">
        <v>45027</v>
      </c>
      <c r="B62">
        <v>100.800003</v>
      </c>
      <c r="C62">
        <v>101</v>
      </c>
      <c r="D62">
        <v>99.010002</v>
      </c>
      <c r="E62">
        <v>99.919998000000007</v>
      </c>
      <c r="F62">
        <v>99.919998000000007</v>
      </c>
      <c r="G62">
        <v>60417800</v>
      </c>
      <c r="H62" t="str">
        <f>TEXT(Table2[[#This Row],[Date]],"ddd")</f>
        <v>Tue</v>
      </c>
      <c r="I62" t="str">
        <f>TEXT(Table2[[#This Row],[Date]],"mmmm")</f>
        <v>April</v>
      </c>
      <c r="J62" t="str">
        <f>TEXT(Table2[[#This Row],[Date]],"yyyy")</f>
        <v>2023</v>
      </c>
    </row>
    <row r="63" spans="1:10" x14ac:dyDescent="0.3">
      <c r="A63" s="1">
        <v>45028</v>
      </c>
      <c r="B63">
        <v>100.400002</v>
      </c>
      <c r="C63">
        <v>100.510002</v>
      </c>
      <c r="D63">
        <v>97.709998999999996</v>
      </c>
      <c r="E63">
        <v>97.830001999999993</v>
      </c>
      <c r="F63">
        <v>97.830001999999993</v>
      </c>
      <c r="G63">
        <v>56735000</v>
      </c>
      <c r="H63" t="str">
        <f>TEXT(Table2[[#This Row],[Date]],"ddd")</f>
        <v>Wed</v>
      </c>
      <c r="I63" t="str">
        <f>TEXT(Table2[[#This Row],[Date]],"mmmm")</f>
        <v>April</v>
      </c>
      <c r="J63" t="str">
        <f>TEXT(Table2[[#This Row],[Date]],"yyyy")</f>
        <v>2023</v>
      </c>
    </row>
    <row r="64" spans="1:10" x14ac:dyDescent="0.3">
      <c r="A64" s="1">
        <v>45029</v>
      </c>
      <c r="B64">
        <v>98.949996999999996</v>
      </c>
      <c r="C64">
        <v>102.57</v>
      </c>
      <c r="D64">
        <v>98.709998999999996</v>
      </c>
      <c r="E64">
        <v>102.400002</v>
      </c>
      <c r="F64">
        <v>102.400002</v>
      </c>
      <c r="G64">
        <v>67925100</v>
      </c>
      <c r="H64" t="str">
        <f>TEXT(Table2[[#This Row],[Date]],"ddd")</f>
        <v>Thu</v>
      </c>
      <c r="I64" t="str">
        <f>TEXT(Table2[[#This Row],[Date]],"mmmm")</f>
        <v>April</v>
      </c>
      <c r="J64" t="str">
        <f>TEXT(Table2[[#This Row],[Date]],"yyyy")</f>
        <v>2023</v>
      </c>
    </row>
    <row r="65" spans="1:10" x14ac:dyDescent="0.3">
      <c r="A65" s="1">
        <v>45030</v>
      </c>
      <c r="B65">
        <v>102.07</v>
      </c>
      <c r="C65">
        <v>103.199997</v>
      </c>
      <c r="D65">
        <v>101.110001</v>
      </c>
      <c r="E65">
        <v>102.510002</v>
      </c>
      <c r="F65">
        <v>102.510002</v>
      </c>
      <c r="G65">
        <v>51450500</v>
      </c>
      <c r="H65" t="str">
        <f>TEXT(Table2[[#This Row],[Date]],"ddd")</f>
        <v>Fri</v>
      </c>
      <c r="I65" t="str">
        <f>TEXT(Table2[[#This Row],[Date]],"mmmm")</f>
        <v>April</v>
      </c>
      <c r="J65" t="str">
        <f>TEXT(Table2[[#This Row],[Date]],"yyyy")</f>
        <v>2023</v>
      </c>
    </row>
    <row r="66" spans="1:10" x14ac:dyDescent="0.3">
      <c r="A66" s="1">
        <v>45033</v>
      </c>
      <c r="B66">
        <v>103.160004</v>
      </c>
      <c r="C66">
        <v>103.730003</v>
      </c>
      <c r="D66">
        <v>101.589996</v>
      </c>
      <c r="E66">
        <v>102.739998</v>
      </c>
      <c r="F66">
        <v>102.739998</v>
      </c>
      <c r="G66">
        <v>39919500</v>
      </c>
      <c r="H66" t="str">
        <f>TEXT(Table2[[#This Row],[Date]],"ddd")</f>
        <v>Mon</v>
      </c>
      <c r="I66" t="str">
        <f>TEXT(Table2[[#This Row],[Date]],"mmmm")</f>
        <v>April</v>
      </c>
      <c r="J66" t="str">
        <f>TEXT(Table2[[#This Row],[Date]],"yyyy")</f>
        <v>2023</v>
      </c>
    </row>
    <row r="67" spans="1:10" x14ac:dyDescent="0.3">
      <c r="A67" s="1">
        <v>45034</v>
      </c>
      <c r="B67">
        <v>103.949997</v>
      </c>
      <c r="C67">
        <v>104.199997</v>
      </c>
      <c r="D67">
        <v>101.519997</v>
      </c>
      <c r="E67">
        <v>102.300003</v>
      </c>
      <c r="F67">
        <v>102.300003</v>
      </c>
      <c r="G67">
        <v>39790500</v>
      </c>
      <c r="H67" t="str">
        <f>TEXT(Table2[[#This Row],[Date]],"ddd")</f>
        <v>Tue</v>
      </c>
      <c r="I67" t="str">
        <f>TEXT(Table2[[#This Row],[Date]],"mmmm")</f>
        <v>April</v>
      </c>
      <c r="J67" t="str">
        <f>TEXT(Table2[[#This Row],[Date]],"yyyy")</f>
        <v>2023</v>
      </c>
    </row>
    <row r="68" spans="1:10" x14ac:dyDescent="0.3">
      <c r="A68" s="1">
        <v>45035</v>
      </c>
      <c r="B68">
        <v>101.58000199999999</v>
      </c>
      <c r="C68">
        <v>105.120003</v>
      </c>
      <c r="D68">
        <v>101.389999</v>
      </c>
      <c r="E68">
        <v>104.300003</v>
      </c>
      <c r="F68">
        <v>104.300003</v>
      </c>
      <c r="G68">
        <v>58398900</v>
      </c>
      <c r="H68" t="str">
        <f>TEXT(Table2[[#This Row],[Date]],"ddd")</f>
        <v>Wed</v>
      </c>
      <c r="I68" t="str">
        <f>TEXT(Table2[[#This Row],[Date]],"mmmm")</f>
        <v>April</v>
      </c>
      <c r="J68" t="str">
        <f>TEXT(Table2[[#This Row],[Date]],"yyyy")</f>
        <v>2023</v>
      </c>
    </row>
    <row r="69" spans="1:10" x14ac:dyDescent="0.3">
      <c r="A69" s="1">
        <v>45036</v>
      </c>
      <c r="B69">
        <v>103.529999</v>
      </c>
      <c r="C69">
        <v>105.25</v>
      </c>
      <c r="D69">
        <v>103.209999</v>
      </c>
      <c r="E69">
        <v>103.80999799999999</v>
      </c>
      <c r="F69">
        <v>103.80999799999999</v>
      </c>
      <c r="G69">
        <v>57696900</v>
      </c>
      <c r="H69" t="str">
        <f>TEXT(Table2[[#This Row],[Date]],"ddd")</f>
        <v>Thu</v>
      </c>
      <c r="I69" t="str">
        <f>TEXT(Table2[[#This Row],[Date]],"mmmm")</f>
        <v>April</v>
      </c>
      <c r="J69" t="str">
        <f>TEXT(Table2[[#This Row],[Date]],"yyyy")</f>
        <v>2023</v>
      </c>
    </row>
    <row r="70" spans="1:10" x14ac:dyDescent="0.3">
      <c r="A70" s="1">
        <v>45037</v>
      </c>
      <c r="B70">
        <v>106.099998</v>
      </c>
      <c r="C70">
        <v>108.150002</v>
      </c>
      <c r="D70">
        <v>105.08000199999999</v>
      </c>
      <c r="E70">
        <v>106.959999</v>
      </c>
      <c r="F70">
        <v>106.959999</v>
      </c>
      <c r="G70">
        <v>86774200</v>
      </c>
      <c r="H70" t="str">
        <f>TEXT(Table2[[#This Row],[Date]],"ddd")</f>
        <v>Fri</v>
      </c>
      <c r="I70" t="str">
        <f>TEXT(Table2[[#This Row],[Date]],"mmmm")</f>
        <v>April</v>
      </c>
      <c r="J70" t="str">
        <f>TEXT(Table2[[#This Row],[Date]],"yyyy")</f>
        <v>2023</v>
      </c>
    </row>
    <row r="71" spans="1:10" x14ac:dyDescent="0.3">
      <c r="A71" s="1">
        <v>45040</v>
      </c>
      <c r="B71">
        <v>107.660004</v>
      </c>
      <c r="C71">
        <v>109.230003</v>
      </c>
      <c r="D71">
        <v>105.07</v>
      </c>
      <c r="E71">
        <v>106.209999</v>
      </c>
      <c r="F71">
        <v>106.209999</v>
      </c>
      <c r="G71">
        <v>69575600</v>
      </c>
      <c r="H71" t="str">
        <f>TEXT(Table2[[#This Row],[Date]],"ddd")</f>
        <v>Mon</v>
      </c>
      <c r="I71" t="str">
        <f>TEXT(Table2[[#This Row],[Date]],"mmmm")</f>
        <v>April</v>
      </c>
      <c r="J71" t="str">
        <f>TEXT(Table2[[#This Row],[Date]],"yyyy")</f>
        <v>2023</v>
      </c>
    </row>
    <row r="72" spans="1:10" x14ac:dyDescent="0.3">
      <c r="A72" s="1">
        <v>45041</v>
      </c>
      <c r="B72">
        <v>104.910004</v>
      </c>
      <c r="C72">
        <v>105.449997</v>
      </c>
      <c r="D72">
        <v>102.449997</v>
      </c>
      <c r="E72">
        <v>102.57</v>
      </c>
      <c r="F72">
        <v>102.57</v>
      </c>
      <c r="G72">
        <v>65026800</v>
      </c>
      <c r="H72" t="str">
        <f>TEXT(Table2[[#This Row],[Date]],"ddd")</f>
        <v>Tue</v>
      </c>
      <c r="I72" t="str">
        <f>TEXT(Table2[[#This Row],[Date]],"mmmm")</f>
        <v>April</v>
      </c>
      <c r="J72" t="str">
        <f>TEXT(Table2[[#This Row],[Date]],"yyyy")</f>
        <v>2023</v>
      </c>
    </row>
    <row r="73" spans="1:10" x14ac:dyDescent="0.3">
      <c r="A73" s="1">
        <v>45042</v>
      </c>
      <c r="B73">
        <v>105.040001</v>
      </c>
      <c r="C73">
        <v>106.620003</v>
      </c>
      <c r="D73">
        <v>104.099998</v>
      </c>
      <c r="E73">
        <v>104.980003</v>
      </c>
      <c r="F73">
        <v>104.980003</v>
      </c>
      <c r="G73">
        <v>73803800</v>
      </c>
      <c r="H73" t="str">
        <f>TEXT(Table2[[#This Row],[Date]],"ddd")</f>
        <v>Wed</v>
      </c>
      <c r="I73" t="str">
        <f>TEXT(Table2[[#This Row],[Date]],"mmmm")</f>
        <v>April</v>
      </c>
      <c r="J73" t="str">
        <f>TEXT(Table2[[#This Row],[Date]],"yyyy")</f>
        <v>2023</v>
      </c>
    </row>
    <row r="74" spans="1:10" x14ac:dyDescent="0.3">
      <c r="A74" s="1">
        <v>45043</v>
      </c>
      <c r="B74">
        <v>108.160004</v>
      </c>
      <c r="C74">
        <v>110.860001</v>
      </c>
      <c r="D74">
        <v>106.800003</v>
      </c>
      <c r="E74">
        <v>109.82</v>
      </c>
      <c r="F74">
        <v>109.82</v>
      </c>
      <c r="G74">
        <v>149961200</v>
      </c>
      <c r="H74" t="str">
        <f>TEXT(Table2[[#This Row],[Date]],"ddd")</f>
        <v>Thu</v>
      </c>
      <c r="I74" t="str">
        <f>TEXT(Table2[[#This Row],[Date]],"mmmm")</f>
        <v>April</v>
      </c>
      <c r="J74" t="str">
        <f>TEXT(Table2[[#This Row],[Date]],"yyyy")</f>
        <v>2023</v>
      </c>
    </row>
    <row r="75" spans="1:10" x14ac:dyDescent="0.3">
      <c r="A75" s="1">
        <v>45044</v>
      </c>
      <c r="B75">
        <v>107.730003</v>
      </c>
      <c r="C75">
        <v>109.480003</v>
      </c>
      <c r="D75">
        <v>104.33000199999999</v>
      </c>
      <c r="E75">
        <v>105.449997</v>
      </c>
      <c r="F75">
        <v>105.449997</v>
      </c>
      <c r="G75">
        <v>130565000</v>
      </c>
      <c r="H75" t="str">
        <f>TEXT(Table2[[#This Row],[Date]],"ddd")</f>
        <v>Fri</v>
      </c>
      <c r="I75" t="str">
        <f>TEXT(Table2[[#This Row],[Date]],"mmmm")</f>
        <v>April</v>
      </c>
      <c r="J75" t="str">
        <f>TEXT(Table2[[#This Row],[Date]],"yyyy")</f>
        <v>2023</v>
      </c>
    </row>
    <row r="76" spans="1:10" x14ac:dyDescent="0.3">
      <c r="A76" s="1">
        <v>45047</v>
      </c>
      <c r="B76">
        <v>104.949997</v>
      </c>
      <c r="C76">
        <v>105.230003</v>
      </c>
      <c r="D76">
        <v>101.82</v>
      </c>
      <c r="E76">
        <v>102.050003</v>
      </c>
      <c r="F76">
        <v>102.050003</v>
      </c>
      <c r="G76">
        <v>74728100</v>
      </c>
      <c r="H76" t="str">
        <f>TEXT(Table2[[#This Row],[Date]],"ddd")</f>
        <v>Mon</v>
      </c>
      <c r="I76" t="str">
        <f>TEXT(Table2[[#This Row],[Date]],"mmmm")</f>
        <v>May</v>
      </c>
      <c r="J76" t="str">
        <f>TEXT(Table2[[#This Row],[Date]],"yyyy")</f>
        <v>2023</v>
      </c>
    </row>
    <row r="77" spans="1:10" x14ac:dyDescent="0.3">
      <c r="A77" s="1">
        <v>45048</v>
      </c>
      <c r="B77">
        <v>101.470001</v>
      </c>
      <c r="C77">
        <v>103.900002</v>
      </c>
      <c r="D77">
        <v>101.150002</v>
      </c>
      <c r="E77">
        <v>103.629997</v>
      </c>
      <c r="F77">
        <v>103.629997</v>
      </c>
      <c r="G77">
        <v>73469400</v>
      </c>
      <c r="H77" t="str">
        <f>TEXT(Table2[[#This Row],[Date]],"ddd")</f>
        <v>Tue</v>
      </c>
      <c r="I77" t="str">
        <f>TEXT(Table2[[#This Row],[Date]],"mmmm")</f>
        <v>May</v>
      </c>
      <c r="J77" t="str">
        <f>TEXT(Table2[[#This Row],[Date]],"yyyy")</f>
        <v>2023</v>
      </c>
    </row>
    <row r="78" spans="1:10" x14ac:dyDescent="0.3">
      <c r="A78" s="1">
        <v>45049</v>
      </c>
      <c r="B78">
        <v>103.739998</v>
      </c>
      <c r="C78">
        <v>105.959999</v>
      </c>
      <c r="D78">
        <v>103.279999</v>
      </c>
      <c r="E78">
        <v>103.650002</v>
      </c>
      <c r="F78">
        <v>103.650002</v>
      </c>
      <c r="G78">
        <v>65051900</v>
      </c>
      <c r="H78" t="str">
        <f>TEXT(Table2[[#This Row],[Date]],"ddd")</f>
        <v>Wed</v>
      </c>
      <c r="I78" t="str">
        <f>TEXT(Table2[[#This Row],[Date]],"mmmm")</f>
        <v>May</v>
      </c>
      <c r="J78" t="str">
        <f>TEXT(Table2[[#This Row],[Date]],"yyyy")</f>
        <v>2023</v>
      </c>
    </row>
    <row r="79" spans="1:10" x14ac:dyDescent="0.3">
      <c r="A79" s="1">
        <v>45050</v>
      </c>
      <c r="B79">
        <v>104.040001</v>
      </c>
      <c r="C79">
        <v>105.389999</v>
      </c>
      <c r="D79">
        <v>103.30999799999999</v>
      </c>
      <c r="E79">
        <v>104</v>
      </c>
      <c r="F79">
        <v>104</v>
      </c>
      <c r="G79">
        <v>45345500</v>
      </c>
      <c r="H79" t="str">
        <f>TEXT(Table2[[#This Row],[Date]],"ddd")</f>
        <v>Thu</v>
      </c>
      <c r="I79" t="str">
        <f>TEXT(Table2[[#This Row],[Date]],"mmmm")</f>
        <v>May</v>
      </c>
      <c r="J79" t="str">
        <f>TEXT(Table2[[#This Row],[Date]],"yyyy")</f>
        <v>2023</v>
      </c>
    </row>
    <row r="80" spans="1:10" x14ac:dyDescent="0.3">
      <c r="A80" s="1">
        <v>45051</v>
      </c>
      <c r="B80">
        <v>104.269997</v>
      </c>
      <c r="C80">
        <v>105.760002</v>
      </c>
      <c r="D80">
        <v>103.550003</v>
      </c>
      <c r="E80">
        <v>105.660004</v>
      </c>
      <c r="F80">
        <v>105.660004</v>
      </c>
      <c r="G80">
        <v>56912900</v>
      </c>
      <c r="H80" t="str">
        <f>TEXT(Table2[[#This Row],[Date]],"ddd")</f>
        <v>Fri</v>
      </c>
      <c r="I80" t="str">
        <f>TEXT(Table2[[#This Row],[Date]],"mmmm")</f>
        <v>May</v>
      </c>
      <c r="J80" t="str">
        <f>TEXT(Table2[[#This Row],[Date]],"yyyy")</f>
        <v>2023</v>
      </c>
    </row>
    <row r="81" spans="1:10" x14ac:dyDescent="0.3">
      <c r="A81" s="1">
        <v>45054</v>
      </c>
      <c r="B81">
        <v>105.040001</v>
      </c>
      <c r="C81">
        <v>106.099998</v>
      </c>
      <c r="D81">
        <v>104.699997</v>
      </c>
      <c r="E81">
        <v>105.83000199999999</v>
      </c>
      <c r="F81">
        <v>105.83000199999999</v>
      </c>
      <c r="G81">
        <v>49430900</v>
      </c>
      <c r="H81" t="str">
        <f>TEXT(Table2[[#This Row],[Date]],"ddd")</f>
        <v>Mon</v>
      </c>
      <c r="I81" t="str">
        <f>TEXT(Table2[[#This Row],[Date]],"mmmm")</f>
        <v>May</v>
      </c>
      <c r="J81" t="str">
        <f>TEXT(Table2[[#This Row],[Date]],"yyyy")</f>
        <v>2023</v>
      </c>
    </row>
    <row r="82" spans="1:10" x14ac:dyDescent="0.3">
      <c r="A82" s="1">
        <v>45055</v>
      </c>
      <c r="B82">
        <v>105.480003</v>
      </c>
      <c r="C82">
        <v>106.790001</v>
      </c>
      <c r="D82">
        <v>105.160004</v>
      </c>
      <c r="E82">
        <v>106.620003</v>
      </c>
      <c r="F82">
        <v>106.620003</v>
      </c>
      <c r="G82">
        <v>44089400</v>
      </c>
      <c r="H82" t="str">
        <f>TEXT(Table2[[#This Row],[Date]],"ddd")</f>
        <v>Tue</v>
      </c>
      <c r="I82" t="str">
        <f>TEXT(Table2[[#This Row],[Date]],"mmmm")</f>
        <v>May</v>
      </c>
      <c r="J82" t="str">
        <f>TEXT(Table2[[#This Row],[Date]],"yyyy")</f>
        <v>2023</v>
      </c>
    </row>
    <row r="83" spans="1:10" x14ac:dyDescent="0.3">
      <c r="A83" s="1">
        <v>45056</v>
      </c>
      <c r="B83">
        <v>108.099998</v>
      </c>
      <c r="C83">
        <v>110.66999800000001</v>
      </c>
      <c r="D83">
        <v>108.050003</v>
      </c>
      <c r="E83">
        <v>110.19000200000001</v>
      </c>
      <c r="F83">
        <v>110.19000200000001</v>
      </c>
      <c r="G83">
        <v>78627600</v>
      </c>
      <c r="H83" t="str">
        <f>TEXT(Table2[[#This Row],[Date]],"ddd")</f>
        <v>Wed</v>
      </c>
      <c r="I83" t="str">
        <f>TEXT(Table2[[#This Row],[Date]],"mmmm")</f>
        <v>May</v>
      </c>
      <c r="J83" t="str">
        <f>TEXT(Table2[[#This Row],[Date]],"yyyy")</f>
        <v>2023</v>
      </c>
    </row>
    <row r="84" spans="1:10" x14ac:dyDescent="0.3">
      <c r="A84" s="1">
        <v>45057</v>
      </c>
      <c r="B84">
        <v>111.029999</v>
      </c>
      <c r="C84">
        <v>113.279999</v>
      </c>
      <c r="D84">
        <v>110.489998</v>
      </c>
      <c r="E84">
        <v>112.18</v>
      </c>
      <c r="F84">
        <v>112.18</v>
      </c>
      <c r="G84">
        <v>74924800</v>
      </c>
      <c r="H84" t="str">
        <f>TEXT(Table2[[#This Row],[Date]],"ddd")</f>
        <v>Thu</v>
      </c>
      <c r="I84" t="str">
        <f>TEXT(Table2[[#This Row],[Date]],"mmmm")</f>
        <v>May</v>
      </c>
      <c r="J84" t="str">
        <f>TEXT(Table2[[#This Row],[Date]],"yyyy")</f>
        <v>2023</v>
      </c>
    </row>
    <row r="85" spans="1:10" x14ac:dyDescent="0.3">
      <c r="A85" s="1">
        <v>45058</v>
      </c>
      <c r="B85">
        <v>112.160004</v>
      </c>
      <c r="C85">
        <v>112.639999</v>
      </c>
      <c r="D85">
        <v>109.32</v>
      </c>
      <c r="E85">
        <v>110.260002</v>
      </c>
      <c r="F85">
        <v>110.260002</v>
      </c>
      <c r="G85">
        <v>49810100</v>
      </c>
      <c r="H85" t="str">
        <f>TEXT(Table2[[#This Row],[Date]],"ddd")</f>
        <v>Fri</v>
      </c>
      <c r="I85" t="str">
        <f>TEXT(Table2[[#This Row],[Date]],"mmmm")</f>
        <v>May</v>
      </c>
      <c r="J85" t="str">
        <f>TEXT(Table2[[#This Row],[Date]],"yyyy")</f>
        <v>2023</v>
      </c>
    </row>
    <row r="86" spans="1:10" x14ac:dyDescent="0.3">
      <c r="A86" s="1">
        <v>45061</v>
      </c>
      <c r="B86">
        <v>111.150002</v>
      </c>
      <c r="C86">
        <v>112.290001</v>
      </c>
      <c r="D86">
        <v>109.25</v>
      </c>
      <c r="E86">
        <v>111.199997</v>
      </c>
      <c r="F86">
        <v>111.199997</v>
      </c>
      <c r="G86">
        <v>53011100</v>
      </c>
      <c r="H86" t="str">
        <f>TEXT(Table2[[#This Row],[Date]],"ddd")</f>
        <v>Mon</v>
      </c>
      <c r="I86" t="str">
        <f>TEXT(Table2[[#This Row],[Date]],"mmmm")</f>
        <v>May</v>
      </c>
      <c r="J86" t="str">
        <f>TEXT(Table2[[#This Row],[Date]],"yyyy")</f>
        <v>2023</v>
      </c>
    </row>
    <row r="87" spans="1:10" x14ac:dyDescent="0.3">
      <c r="A87" s="1">
        <v>45062</v>
      </c>
      <c r="B87">
        <v>111.050003</v>
      </c>
      <c r="C87">
        <v>114.790001</v>
      </c>
      <c r="D87">
        <v>111.050003</v>
      </c>
      <c r="E87">
        <v>113.400002</v>
      </c>
      <c r="F87">
        <v>113.400002</v>
      </c>
      <c r="G87">
        <v>71472900</v>
      </c>
      <c r="H87" t="str">
        <f>TEXT(Table2[[#This Row],[Date]],"ddd")</f>
        <v>Tue</v>
      </c>
      <c r="I87" t="str">
        <f>TEXT(Table2[[#This Row],[Date]],"mmmm")</f>
        <v>May</v>
      </c>
      <c r="J87" t="str">
        <f>TEXT(Table2[[#This Row],[Date]],"yyyy")</f>
        <v>2023</v>
      </c>
    </row>
    <row r="88" spans="1:10" x14ac:dyDescent="0.3">
      <c r="A88" s="1">
        <v>45063</v>
      </c>
      <c r="B88">
        <v>114.889999</v>
      </c>
      <c r="C88">
        <v>115.83000199999999</v>
      </c>
      <c r="D88">
        <v>114.220001</v>
      </c>
      <c r="E88">
        <v>115.5</v>
      </c>
      <c r="F88">
        <v>115.5</v>
      </c>
      <c r="G88">
        <v>65655200</v>
      </c>
      <c r="H88" t="str">
        <f>TEXT(Table2[[#This Row],[Date]],"ddd")</f>
        <v>Wed</v>
      </c>
      <c r="I88" t="str">
        <f>TEXT(Table2[[#This Row],[Date]],"mmmm")</f>
        <v>May</v>
      </c>
      <c r="J88" t="str">
        <f>TEXT(Table2[[#This Row],[Date]],"yyyy")</f>
        <v>2023</v>
      </c>
    </row>
    <row r="89" spans="1:10" x14ac:dyDescent="0.3">
      <c r="A89" s="1">
        <v>45064</v>
      </c>
      <c r="B89">
        <v>116.69000200000001</v>
      </c>
      <c r="C89">
        <v>118.599998</v>
      </c>
      <c r="D89">
        <v>116.339996</v>
      </c>
      <c r="E89">
        <v>118.150002</v>
      </c>
      <c r="F89">
        <v>118.150002</v>
      </c>
      <c r="G89">
        <v>73174100</v>
      </c>
      <c r="H89" t="str">
        <f>TEXT(Table2[[#This Row],[Date]],"ddd")</f>
        <v>Thu</v>
      </c>
      <c r="I89" t="str">
        <f>TEXT(Table2[[#This Row],[Date]],"mmmm")</f>
        <v>May</v>
      </c>
      <c r="J89" t="str">
        <f>TEXT(Table2[[#This Row],[Date]],"yyyy")</f>
        <v>2023</v>
      </c>
    </row>
    <row r="90" spans="1:10" x14ac:dyDescent="0.3">
      <c r="A90" s="1">
        <v>45065</v>
      </c>
      <c r="B90">
        <v>118.160004</v>
      </c>
      <c r="C90">
        <v>118.30999799999999</v>
      </c>
      <c r="D90">
        <v>115.699997</v>
      </c>
      <c r="E90">
        <v>116.25</v>
      </c>
      <c r="F90">
        <v>116.25</v>
      </c>
      <c r="G90">
        <v>54990200</v>
      </c>
      <c r="H90" t="str">
        <f>TEXT(Table2[[#This Row],[Date]],"ddd")</f>
        <v>Fri</v>
      </c>
      <c r="I90" t="str">
        <f>TEXT(Table2[[#This Row],[Date]],"mmmm")</f>
        <v>May</v>
      </c>
      <c r="J90" t="str">
        <f>TEXT(Table2[[#This Row],[Date]],"yyyy")</f>
        <v>2023</v>
      </c>
    </row>
    <row r="91" spans="1:10" x14ac:dyDescent="0.3">
      <c r="A91" s="1">
        <v>45068</v>
      </c>
      <c r="B91">
        <v>116.769997</v>
      </c>
      <c r="C91">
        <v>116.769997</v>
      </c>
      <c r="D91">
        <v>114.25</v>
      </c>
      <c r="E91">
        <v>115.010002</v>
      </c>
      <c r="F91">
        <v>115.010002</v>
      </c>
      <c r="G91">
        <v>70741100</v>
      </c>
      <c r="H91" t="str">
        <f>TEXT(Table2[[#This Row],[Date]],"ddd")</f>
        <v>Mon</v>
      </c>
      <c r="I91" t="str">
        <f>TEXT(Table2[[#This Row],[Date]],"mmmm")</f>
        <v>May</v>
      </c>
      <c r="J91" t="str">
        <f>TEXT(Table2[[#This Row],[Date]],"yyyy")</f>
        <v>2023</v>
      </c>
    </row>
    <row r="92" spans="1:10" x14ac:dyDescent="0.3">
      <c r="A92" s="1">
        <v>45069</v>
      </c>
      <c r="B92">
        <v>114.269997</v>
      </c>
      <c r="C92">
        <v>117.139999</v>
      </c>
      <c r="D92">
        <v>113.779999</v>
      </c>
      <c r="E92">
        <v>114.989998</v>
      </c>
      <c r="F92">
        <v>114.989998</v>
      </c>
      <c r="G92">
        <v>67576300</v>
      </c>
      <c r="H92" t="str">
        <f>TEXT(Table2[[#This Row],[Date]],"ddd")</f>
        <v>Tue</v>
      </c>
      <c r="I92" t="str">
        <f>TEXT(Table2[[#This Row],[Date]],"mmmm")</f>
        <v>May</v>
      </c>
      <c r="J92" t="str">
        <f>TEXT(Table2[[#This Row],[Date]],"yyyy")</f>
        <v>2023</v>
      </c>
    </row>
    <row r="93" spans="1:10" x14ac:dyDescent="0.3">
      <c r="A93" s="1">
        <v>45070</v>
      </c>
      <c r="B93">
        <v>115.349998</v>
      </c>
      <c r="C93">
        <v>117.339996</v>
      </c>
      <c r="D93">
        <v>115.019997</v>
      </c>
      <c r="E93">
        <v>116.75</v>
      </c>
      <c r="F93">
        <v>116.75</v>
      </c>
      <c r="G93">
        <v>63487900</v>
      </c>
      <c r="H93" t="str">
        <f>TEXT(Table2[[#This Row],[Date]],"ddd")</f>
        <v>Wed</v>
      </c>
      <c r="I93" t="str">
        <f>TEXT(Table2[[#This Row],[Date]],"mmmm")</f>
        <v>May</v>
      </c>
      <c r="J93" t="str">
        <f>TEXT(Table2[[#This Row],[Date]],"yyyy")</f>
        <v>2023</v>
      </c>
    </row>
    <row r="94" spans="1:10" x14ac:dyDescent="0.3">
      <c r="A94" s="1">
        <v>45071</v>
      </c>
      <c r="B94">
        <v>116.629997</v>
      </c>
      <c r="C94">
        <v>116.870003</v>
      </c>
      <c r="D94">
        <v>114.30999799999999</v>
      </c>
      <c r="E94">
        <v>115</v>
      </c>
      <c r="F94">
        <v>115</v>
      </c>
      <c r="G94">
        <v>66496700</v>
      </c>
      <c r="H94" t="str">
        <f>TEXT(Table2[[#This Row],[Date]],"ddd")</f>
        <v>Thu</v>
      </c>
      <c r="I94" t="str">
        <f>TEXT(Table2[[#This Row],[Date]],"mmmm")</f>
        <v>May</v>
      </c>
      <c r="J94" t="str">
        <f>TEXT(Table2[[#This Row],[Date]],"yyyy")</f>
        <v>2023</v>
      </c>
    </row>
    <row r="95" spans="1:10" x14ac:dyDescent="0.3">
      <c r="A95" s="1">
        <v>45072</v>
      </c>
      <c r="B95">
        <v>116.040001</v>
      </c>
      <c r="C95">
        <v>121.5</v>
      </c>
      <c r="D95">
        <v>116.019997</v>
      </c>
      <c r="E95">
        <v>120.110001</v>
      </c>
      <c r="F95">
        <v>120.110001</v>
      </c>
      <c r="G95">
        <v>96779900</v>
      </c>
      <c r="H95" t="str">
        <f>TEXT(Table2[[#This Row],[Date]],"ddd")</f>
        <v>Fri</v>
      </c>
      <c r="I95" t="str">
        <f>TEXT(Table2[[#This Row],[Date]],"mmmm")</f>
        <v>May</v>
      </c>
      <c r="J95" t="str">
        <f>TEXT(Table2[[#This Row],[Date]],"yyyy")</f>
        <v>2023</v>
      </c>
    </row>
    <row r="96" spans="1:10" x14ac:dyDescent="0.3">
      <c r="A96" s="1">
        <v>45076</v>
      </c>
      <c r="B96">
        <v>122.370003</v>
      </c>
      <c r="C96">
        <v>122.91999800000001</v>
      </c>
      <c r="D96">
        <v>119.860001</v>
      </c>
      <c r="E96">
        <v>121.660004</v>
      </c>
      <c r="F96">
        <v>121.660004</v>
      </c>
      <c r="G96">
        <v>64314800</v>
      </c>
      <c r="H96" t="str">
        <f>TEXT(Table2[[#This Row],[Date]],"ddd")</f>
        <v>Tue</v>
      </c>
      <c r="I96" t="str">
        <f>TEXT(Table2[[#This Row],[Date]],"mmmm")</f>
        <v>May</v>
      </c>
      <c r="J96" t="str">
        <f>TEXT(Table2[[#This Row],[Date]],"yyyy")</f>
        <v>2023</v>
      </c>
    </row>
    <row r="97" spans="1:10" x14ac:dyDescent="0.3">
      <c r="A97" s="1">
        <v>45077</v>
      </c>
      <c r="B97">
        <v>121.449997</v>
      </c>
      <c r="C97">
        <v>122.040001</v>
      </c>
      <c r="D97">
        <v>119.16999800000001</v>
      </c>
      <c r="E97">
        <v>120.58000199999999</v>
      </c>
      <c r="F97">
        <v>120.58000199999999</v>
      </c>
      <c r="G97">
        <v>72800800</v>
      </c>
      <c r="H97" t="str">
        <f>TEXT(Table2[[#This Row],[Date]],"ddd")</f>
        <v>Wed</v>
      </c>
      <c r="I97" t="str">
        <f>TEXT(Table2[[#This Row],[Date]],"mmmm")</f>
        <v>May</v>
      </c>
      <c r="J97" t="str">
        <f>TEXT(Table2[[#This Row],[Date]],"yyyy")</f>
        <v>2023</v>
      </c>
    </row>
    <row r="98" spans="1:10" x14ac:dyDescent="0.3">
      <c r="A98" s="1">
        <v>45078</v>
      </c>
      <c r="B98">
        <v>120.69000200000001</v>
      </c>
      <c r="C98">
        <v>123.489998</v>
      </c>
      <c r="D98">
        <v>119.93</v>
      </c>
      <c r="E98">
        <v>122.769997</v>
      </c>
      <c r="F98">
        <v>122.769997</v>
      </c>
      <c r="G98">
        <v>54375100</v>
      </c>
      <c r="H98" t="str">
        <f>TEXT(Table2[[#This Row],[Date]],"ddd")</f>
        <v>Thu</v>
      </c>
      <c r="I98" t="str">
        <f>TEXT(Table2[[#This Row],[Date]],"mmmm")</f>
        <v>June</v>
      </c>
      <c r="J98" t="str">
        <f>TEXT(Table2[[#This Row],[Date]],"yyyy")</f>
        <v>2023</v>
      </c>
    </row>
    <row r="99" spans="1:10" x14ac:dyDescent="0.3">
      <c r="A99" s="1">
        <v>45079</v>
      </c>
      <c r="B99">
        <v>124.91999800000001</v>
      </c>
      <c r="C99">
        <v>126.389999</v>
      </c>
      <c r="D99">
        <v>124.019997</v>
      </c>
      <c r="E99">
        <v>124.25</v>
      </c>
      <c r="F99">
        <v>124.25</v>
      </c>
      <c r="G99">
        <v>61215000</v>
      </c>
      <c r="H99" t="str">
        <f>TEXT(Table2[[#This Row],[Date]],"ddd")</f>
        <v>Fri</v>
      </c>
      <c r="I99" t="str">
        <f>TEXT(Table2[[#This Row],[Date]],"mmmm")</f>
        <v>June</v>
      </c>
      <c r="J99" t="str">
        <f>TEXT(Table2[[#This Row],[Date]],"yyyy")</f>
        <v>2023</v>
      </c>
    </row>
    <row r="100" spans="1:10" x14ac:dyDescent="0.3">
      <c r="A100" s="1">
        <v>45082</v>
      </c>
      <c r="B100">
        <v>123.360001</v>
      </c>
      <c r="C100">
        <v>125.800003</v>
      </c>
      <c r="D100">
        <v>123.029999</v>
      </c>
      <c r="E100">
        <v>125.300003</v>
      </c>
      <c r="F100">
        <v>125.300003</v>
      </c>
      <c r="G100">
        <v>47950100</v>
      </c>
      <c r="H100" t="str">
        <f>TEXT(Table2[[#This Row],[Date]],"ddd")</f>
        <v>Mon</v>
      </c>
      <c r="I100" t="str">
        <f>TEXT(Table2[[#This Row],[Date]],"mmmm")</f>
        <v>June</v>
      </c>
      <c r="J100" t="str">
        <f>TEXT(Table2[[#This Row],[Date]],"yyyy")</f>
        <v>2023</v>
      </c>
    </row>
    <row r="101" spans="1:10" x14ac:dyDescent="0.3">
      <c r="A101" s="1">
        <v>45083</v>
      </c>
      <c r="B101">
        <v>125.07</v>
      </c>
      <c r="C101">
        <v>127.400002</v>
      </c>
      <c r="D101">
        <v>125</v>
      </c>
      <c r="E101">
        <v>126.610001</v>
      </c>
      <c r="F101">
        <v>126.610001</v>
      </c>
      <c r="G101">
        <v>45695200</v>
      </c>
      <c r="H101" t="str">
        <f>TEXT(Table2[[#This Row],[Date]],"ddd")</f>
        <v>Tue</v>
      </c>
      <c r="I101" t="str">
        <f>TEXT(Table2[[#This Row],[Date]],"mmmm")</f>
        <v>June</v>
      </c>
      <c r="J101" t="str">
        <f>TEXT(Table2[[#This Row],[Date]],"yyyy")</f>
        <v>2023</v>
      </c>
    </row>
    <row r="102" spans="1:10" x14ac:dyDescent="0.3">
      <c r="A102" s="1">
        <v>45084</v>
      </c>
      <c r="B102">
        <v>127.010002</v>
      </c>
      <c r="C102">
        <v>127.370003</v>
      </c>
      <c r="D102">
        <v>120.629997</v>
      </c>
      <c r="E102">
        <v>121.230003</v>
      </c>
      <c r="F102">
        <v>121.230003</v>
      </c>
      <c r="G102">
        <v>95663300</v>
      </c>
      <c r="H102" t="str">
        <f>TEXT(Table2[[#This Row],[Date]],"ddd")</f>
        <v>Wed</v>
      </c>
      <c r="I102" t="str">
        <f>TEXT(Table2[[#This Row],[Date]],"mmmm")</f>
        <v>June</v>
      </c>
      <c r="J102" t="str">
        <f>TEXT(Table2[[#This Row],[Date]],"yyyy")</f>
        <v>2023</v>
      </c>
    </row>
    <row r="103" spans="1:10" x14ac:dyDescent="0.3">
      <c r="A103" s="1">
        <v>45085</v>
      </c>
      <c r="B103">
        <v>123.010002</v>
      </c>
      <c r="C103">
        <v>125.629997</v>
      </c>
      <c r="D103">
        <v>122.260002</v>
      </c>
      <c r="E103">
        <v>124.25</v>
      </c>
      <c r="F103">
        <v>124.25</v>
      </c>
      <c r="G103">
        <v>62159300</v>
      </c>
      <c r="H103" t="str">
        <f>TEXT(Table2[[#This Row],[Date]],"ddd")</f>
        <v>Thu</v>
      </c>
      <c r="I103" t="str">
        <f>TEXT(Table2[[#This Row],[Date]],"mmmm")</f>
        <v>June</v>
      </c>
      <c r="J103" t="str">
        <f>TEXT(Table2[[#This Row],[Date]],"yyyy")</f>
        <v>2023</v>
      </c>
    </row>
    <row r="104" spans="1:10" x14ac:dyDescent="0.3">
      <c r="A104" s="1">
        <v>45086</v>
      </c>
      <c r="B104">
        <v>124.08000199999999</v>
      </c>
      <c r="C104">
        <v>125.800003</v>
      </c>
      <c r="D104">
        <v>123.19000200000001</v>
      </c>
      <c r="E104">
        <v>123.43</v>
      </c>
      <c r="F104">
        <v>123.43</v>
      </c>
      <c r="G104">
        <v>51330000</v>
      </c>
      <c r="H104" t="str">
        <f>TEXT(Table2[[#This Row],[Date]],"ddd")</f>
        <v>Fri</v>
      </c>
      <c r="I104" t="str">
        <f>TEXT(Table2[[#This Row],[Date]],"mmmm")</f>
        <v>June</v>
      </c>
      <c r="J104" t="str">
        <f>TEXT(Table2[[#This Row],[Date]],"yyyy")</f>
        <v>2023</v>
      </c>
    </row>
    <row r="105" spans="1:10" x14ac:dyDescent="0.3">
      <c r="A105" s="1">
        <v>45089</v>
      </c>
      <c r="B105">
        <v>124.019997</v>
      </c>
      <c r="C105">
        <v>126.779999</v>
      </c>
      <c r="D105">
        <v>123.529999</v>
      </c>
      <c r="E105">
        <v>126.57</v>
      </c>
      <c r="F105">
        <v>126.57</v>
      </c>
      <c r="G105">
        <v>51338000</v>
      </c>
      <c r="H105" t="str">
        <f>TEXT(Table2[[#This Row],[Date]],"ddd")</f>
        <v>Mon</v>
      </c>
      <c r="I105" t="str">
        <f>TEXT(Table2[[#This Row],[Date]],"mmmm")</f>
        <v>June</v>
      </c>
      <c r="J105" t="str">
        <f>TEXT(Table2[[#This Row],[Date]],"yyyy")</f>
        <v>2023</v>
      </c>
    </row>
    <row r="106" spans="1:10" x14ac:dyDescent="0.3">
      <c r="A106" s="1">
        <v>45090</v>
      </c>
      <c r="B106">
        <v>128.11999499999999</v>
      </c>
      <c r="C106">
        <v>128.41000399999999</v>
      </c>
      <c r="D106">
        <v>125.18</v>
      </c>
      <c r="E106">
        <v>126.660004</v>
      </c>
      <c r="F106">
        <v>126.660004</v>
      </c>
      <c r="G106">
        <v>50564800</v>
      </c>
      <c r="H106" t="str">
        <f>TEXT(Table2[[#This Row],[Date]],"ddd")</f>
        <v>Tue</v>
      </c>
      <c r="I106" t="str">
        <f>TEXT(Table2[[#This Row],[Date]],"mmmm")</f>
        <v>June</v>
      </c>
      <c r="J106" t="str">
        <f>TEXT(Table2[[#This Row],[Date]],"yyyy")</f>
        <v>2023</v>
      </c>
    </row>
    <row r="107" spans="1:10" x14ac:dyDescent="0.3">
      <c r="A107" s="1">
        <v>45091</v>
      </c>
      <c r="B107">
        <v>126.699997</v>
      </c>
      <c r="C107">
        <v>126.949997</v>
      </c>
      <c r="D107">
        <v>124.120003</v>
      </c>
      <c r="E107">
        <v>126.41999800000001</v>
      </c>
      <c r="F107">
        <v>126.41999800000001</v>
      </c>
      <c r="G107">
        <v>52422500</v>
      </c>
      <c r="H107" t="str">
        <f>TEXT(Table2[[#This Row],[Date]],"ddd")</f>
        <v>Wed</v>
      </c>
      <c r="I107" t="str">
        <f>TEXT(Table2[[#This Row],[Date]],"mmmm")</f>
        <v>June</v>
      </c>
      <c r="J107" t="str">
        <f>TEXT(Table2[[#This Row],[Date]],"yyyy")</f>
        <v>2023</v>
      </c>
    </row>
    <row r="108" spans="1:10" x14ac:dyDescent="0.3">
      <c r="A108" s="1">
        <v>45092</v>
      </c>
      <c r="B108">
        <v>125.209999</v>
      </c>
      <c r="C108">
        <v>127.69000200000001</v>
      </c>
      <c r="D108">
        <v>124.32</v>
      </c>
      <c r="E108">
        <v>127.110001</v>
      </c>
      <c r="F108">
        <v>127.110001</v>
      </c>
      <c r="G108">
        <v>60458500</v>
      </c>
      <c r="H108" t="str">
        <f>TEXT(Table2[[#This Row],[Date]],"ddd")</f>
        <v>Thu</v>
      </c>
      <c r="I108" t="str">
        <f>TEXT(Table2[[#This Row],[Date]],"mmmm")</f>
        <v>June</v>
      </c>
      <c r="J108" t="str">
        <f>TEXT(Table2[[#This Row],[Date]],"yyyy")</f>
        <v>2023</v>
      </c>
    </row>
    <row r="109" spans="1:10" x14ac:dyDescent="0.3">
      <c r="A109" s="1">
        <v>45093</v>
      </c>
      <c r="B109">
        <v>127.709999</v>
      </c>
      <c r="C109">
        <v>127.900002</v>
      </c>
      <c r="D109">
        <v>125.300003</v>
      </c>
      <c r="E109">
        <v>125.489998</v>
      </c>
      <c r="F109">
        <v>125.489998</v>
      </c>
      <c r="G109">
        <v>84188100</v>
      </c>
      <c r="H109" t="str">
        <f>TEXT(Table2[[#This Row],[Date]],"ddd")</f>
        <v>Fri</v>
      </c>
      <c r="I109" t="str">
        <f>TEXT(Table2[[#This Row],[Date]],"mmmm")</f>
        <v>June</v>
      </c>
      <c r="J109" t="str">
        <f>TEXT(Table2[[#This Row],[Date]],"yyyy")</f>
        <v>2023</v>
      </c>
    </row>
    <row r="110" spans="1:10" x14ac:dyDescent="0.3">
      <c r="A110" s="1">
        <v>45097</v>
      </c>
      <c r="B110">
        <v>124.970001</v>
      </c>
      <c r="C110">
        <v>127.25</v>
      </c>
      <c r="D110">
        <v>124.5</v>
      </c>
      <c r="E110">
        <v>125.779999</v>
      </c>
      <c r="F110">
        <v>125.779999</v>
      </c>
      <c r="G110">
        <v>56930100</v>
      </c>
      <c r="H110" t="str">
        <f>TEXT(Table2[[#This Row],[Date]],"ddd")</f>
        <v>Tue</v>
      </c>
      <c r="I110" t="str">
        <f>TEXT(Table2[[#This Row],[Date]],"mmmm")</f>
        <v>June</v>
      </c>
      <c r="J110" t="str">
        <f>TEXT(Table2[[#This Row],[Date]],"yyyy")</f>
        <v>2023</v>
      </c>
    </row>
    <row r="111" spans="1:10" x14ac:dyDescent="0.3">
      <c r="A111" s="1">
        <v>45098</v>
      </c>
      <c r="B111">
        <v>125.639999</v>
      </c>
      <c r="C111">
        <v>126.730003</v>
      </c>
      <c r="D111">
        <v>123.849998</v>
      </c>
      <c r="E111">
        <v>124.83000199999999</v>
      </c>
      <c r="F111">
        <v>124.83000199999999</v>
      </c>
      <c r="G111">
        <v>52137700</v>
      </c>
      <c r="H111" t="str">
        <f>TEXT(Table2[[#This Row],[Date]],"ddd")</f>
        <v>Wed</v>
      </c>
      <c r="I111" t="str">
        <f>TEXT(Table2[[#This Row],[Date]],"mmmm")</f>
        <v>June</v>
      </c>
      <c r="J111" t="str">
        <f>TEXT(Table2[[#This Row],[Date]],"yyyy")</f>
        <v>2023</v>
      </c>
    </row>
    <row r="112" spans="1:10" x14ac:dyDescent="0.3">
      <c r="A112" s="1">
        <v>45099</v>
      </c>
      <c r="B112">
        <v>125.30999799999999</v>
      </c>
      <c r="C112">
        <v>130.33000200000001</v>
      </c>
      <c r="D112">
        <v>125.139999</v>
      </c>
      <c r="E112">
        <v>130.14999399999999</v>
      </c>
      <c r="F112">
        <v>130.14999399999999</v>
      </c>
      <c r="G112">
        <v>90354600</v>
      </c>
      <c r="H112" t="str">
        <f>TEXT(Table2[[#This Row],[Date]],"ddd")</f>
        <v>Thu</v>
      </c>
      <c r="I112" t="str">
        <f>TEXT(Table2[[#This Row],[Date]],"mmmm")</f>
        <v>June</v>
      </c>
      <c r="J112" t="str">
        <f>TEXT(Table2[[#This Row],[Date]],"yyyy")</f>
        <v>2023</v>
      </c>
    </row>
    <row r="113" spans="1:10" x14ac:dyDescent="0.3">
      <c r="A113" s="1">
        <v>45100</v>
      </c>
      <c r="B113">
        <v>129.11000100000001</v>
      </c>
      <c r="C113">
        <v>130.83999600000001</v>
      </c>
      <c r="D113">
        <v>128.279999</v>
      </c>
      <c r="E113">
        <v>129.33000200000001</v>
      </c>
      <c r="F113">
        <v>129.33000200000001</v>
      </c>
      <c r="G113">
        <v>71855200</v>
      </c>
      <c r="H113" t="str">
        <f>TEXT(Table2[[#This Row],[Date]],"ddd")</f>
        <v>Fri</v>
      </c>
      <c r="I113" t="str">
        <f>TEXT(Table2[[#This Row],[Date]],"mmmm")</f>
        <v>June</v>
      </c>
      <c r="J113" t="str">
        <f>TEXT(Table2[[#This Row],[Date]],"yyyy")</f>
        <v>2023</v>
      </c>
    </row>
    <row r="114" spans="1:10" x14ac:dyDescent="0.3">
      <c r="A114" s="1">
        <v>45103</v>
      </c>
      <c r="B114">
        <v>129.33000200000001</v>
      </c>
      <c r="C114">
        <v>131.490005</v>
      </c>
      <c r="D114">
        <v>127.099998</v>
      </c>
      <c r="E114">
        <v>127.33000199999999</v>
      </c>
      <c r="F114">
        <v>127.33000199999999</v>
      </c>
      <c r="G114">
        <v>59989300</v>
      </c>
      <c r="H114" t="str">
        <f>TEXT(Table2[[#This Row],[Date]],"ddd")</f>
        <v>Mon</v>
      </c>
      <c r="I114" t="str">
        <f>TEXT(Table2[[#This Row],[Date]],"mmmm")</f>
        <v>June</v>
      </c>
      <c r="J114" t="str">
        <f>TEXT(Table2[[#This Row],[Date]],"yyyy")</f>
        <v>2023</v>
      </c>
    </row>
    <row r="115" spans="1:10" x14ac:dyDescent="0.3">
      <c r="A115" s="1">
        <v>45104</v>
      </c>
      <c r="B115">
        <v>128.63000500000001</v>
      </c>
      <c r="C115">
        <v>130.08999600000001</v>
      </c>
      <c r="D115">
        <v>127.550003</v>
      </c>
      <c r="E115">
        <v>129.179993</v>
      </c>
      <c r="F115">
        <v>129.179993</v>
      </c>
      <c r="G115">
        <v>46801000</v>
      </c>
      <c r="H115" t="str">
        <f>TEXT(Table2[[#This Row],[Date]],"ddd")</f>
        <v>Tue</v>
      </c>
      <c r="I115" t="str">
        <f>TEXT(Table2[[#This Row],[Date]],"mmmm")</f>
        <v>June</v>
      </c>
      <c r="J115" t="str">
        <f>TEXT(Table2[[#This Row],[Date]],"yyyy")</f>
        <v>2023</v>
      </c>
    </row>
    <row r="116" spans="1:10" x14ac:dyDescent="0.3">
      <c r="A116" s="1">
        <v>45105</v>
      </c>
      <c r="B116">
        <v>128.94000199999999</v>
      </c>
      <c r="C116">
        <v>131.479996</v>
      </c>
      <c r="D116">
        <v>128.44000199999999</v>
      </c>
      <c r="E116">
        <v>129.03999300000001</v>
      </c>
      <c r="F116">
        <v>129.03999300000001</v>
      </c>
      <c r="G116">
        <v>52149500</v>
      </c>
      <c r="H116" t="str">
        <f>TEXT(Table2[[#This Row],[Date]],"ddd")</f>
        <v>Wed</v>
      </c>
      <c r="I116" t="str">
        <f>TEXT(Table2[[#This Row],[Date]],"mmmm")</f>
        <v>June</v>
      </c>
      <c r="J116" t="str">
        <f>TEXT(Table2[[#This Row],[Date]],"yyyy")</f>
        <v>2023</v>
      </c>
    </row>
    <row r="117" spans="1:10" x14ac:dyDescent="0.3">
      <c r="A117" s="1">
        <v>45106</v>
      </c>
      <c r="B117">
        <v>128.770004</v>
      </c>
      <c r="C117">
        <v>129.259995</v>
      </c>
      <c r="D117">
        <v>127.260002</v>
      </c>
      <c r="E117">
        <v>127.900002</v>
      </c>
      <c r="F117">
        <v>127.900002</v>
      </c>
      <c r="G117">
        <v>40761000</v>
      </c>
      <c r="H117" t="str">
        <f>TEXT(Table2[[#This Row],[Date]],"ddd")</f>
        <v>Thu</v>
      </c>
      <c r="I117" t="str">
        <f>TEXT(Table2[[#This Row],[Date]],"mmmm")</f>
        <v>June</v>
      </c>
      <c r="J117" t="str">
        <f>TEXT(Table2[[#This Row],[Date]],"yyyy")</f>
        <v>2023</v>
      </c>
    </row>
    <row r="118" spans="1:10" x14ac:dyDescent="0.3">
      <c r="A118" s="1">
        <v>45107</v>
      </c>
      <c r="B118">
        <v>129.470001</v>
      </c>
      <c r="C118">
        <v>131.25</v>
      </c>
      <c r="D118">
        <v>128.949997</v>
      </c>
      <c r="E118">
        <v>130.36000100000001</v>
      </c>
      <c r="F118">
        <v>130.36000100000001</v>
      </c>
      <c r="G118">
        <v>54310500</v>
      </c>
      <c r="H118" t="str">
        <f>TEXT(Table2[[#This Row],[Date]],"ddd")</f>
        <v>Fri</v>
      </c>
      <c r="I118" t="str">
        <f>TEXT(Table2[[#This Row],[Date]],"mmmm")</f>
        <v>June</v>
      </c>
      <c r="J118" t="str">
        <f>TEXT(Table2[[#This Row],[Date]],"yyyy")</f>
        <v>2023</v>
      </c>
    </row>
    <row r="119" spans="1:10" x14ac:dyDescent="0.3">
      <c r="A119" s="1">
        <v>45110</v>
      </c>
      <c r="B119">
        <v>130.820007</v>
      </c>
      <c r="C119">
        <v>131.85000600000001</v>
      </c>
      <c r="D119">
        <v>130.070007</v>
      </c>
      <c r="E119">
        <v>130.220001</v>
      </c>
      <c r="F119">
        <v>130.220001</v>
      </c>
      <c r="G119">
        <v>28264800</v>
      </c>
      <c r="H119" t="str">
        <f>TEXT(Table2[[#This Row],[Date]],"ddd")</f>
        <v>Mon</v>
      </c>
      <c r="I119" t="str">
        <f>TEXT(Table2[[#This Row],[Date]],"mmmm")</f>
        <v>July</v>
      </c>
      <c r="J119" t="str">
        <f>TEXT(Table2[[#This Row],[Date]],"yyyy")</f>
        <v>2023</v>
      </c>
    </row>
    <row r="120" spans="1:10" x14ac:dyDescent="0.3">
      <c r="A120" s="1">
        <v>45112</v>
      </c>
      <c r="B120">
        <v>130.240005</v>
      </c>
      <c r="C120">
        <v>131.39999399999999</v>
      </c>
      <c r="D120">
        <v>129.63999899999999</v>
      </c>
      <c r="E120">
        <v>130.38000500000001</v>
      </c>
      <c r="F120">
        <v>130.38000500000001</v>
      </c>
      <c r="G120">
        <v>35895400</v>
      </c>
      <c r="H120" t="str">
        <f>TEXT(Table2[[#This Row],[Date]],"ddd")</f>
        <v>Wed</v>
      </c>
      <c r="I120" t="str">
        <f>TEXT(Table2[[#This Row],[Date]],"mmmm")</f>
        <v>July</v>
      </c>
      <c r="J120" t="str">
        <f>TEXT(Table2[[#This Row],[Date]],"yyyy")</f>
        <v>2023</v>
      </c>
    </row>
    <row r="121" spans="1:10" x14ac:dyDescent="0.3">
      <c r="A121" s="1">
        <v>45113</v>
      </c>
      <c r="B121">
        <v>128.25</v>
      </c>
      <c r="C121">
        <v>128.729996</v>
      </c>
      <c r="D121">
        <v>127.370003</v>
      </c>
      <c r="E121">
        <v>128.36000100000001</v>
      </c>
      <c r="F121">
        <v>128.36000100000001</v>
      </c>
      <c r="G121">
        <v>40639900</v>
      </c>
      <c r="H121" t="str">
        <f>TEXT(Table2[[#This Row],[Date]],"ddd")</f>
        <v>Thu</v>
      </c>
      <c r="I121" t="str">
        <f>TEXT(Table2[[#This Row],[Date]],"mmmm")</f>
        <v>July</v>
      </c>
      <c r="J121" t="str">
        <f>TEXT(Table2[[#This Row],[Date]],"yyyy")</f>
        <v>2023</v>
      </c>
    </row>
    <row r="122" spans="1:10" x14ac:dyDescent="0.3">
      <c r="A122" s="1">
        <v>45114</v>
      </c>
      <c r="B122">
        <v>128.58999600000001</v>
      </c>
      <c r="C122">
        <v>130.970001</v>
      </c>
      <c r="D122">
        <v>128.13000500000001</v>
      </c>
      <c r="E122">
        <v>129.779999</v>
      </c>
      <c r="F122">
        <v>129.779999</v>
      </c>
      <c r="G122">
        <v>41928700</v>
      </c>
      <c r="H122" t="str">
        <f>TEXT(Table2[[#This Row],[Date]],"ddd")</f>
        <v>Fri</v>
      </c>
      <c r="I122" t="str">
        <f>TEXT(Table2[[#This Row],[Date]],"mmmm")</f>
        <v>July</v>
      </c>
      <c r="J122" t="str">
        <f>TEXT(Table2[[#This Row],[Date]],"yyyy")</f>
        <v>2023</v>
      </c>
    </row>
    <row r="123" spans="1:10" x14ac:dyDescent="0.3">
      <c r="A123" s="1">
        <v>45117</v>
      </c>
      <c r="B123">
        <v>129.070007</v>
      </c>
      <c r="C123">
        <v>129.279999</v>
      </c>
      <c r="D123">
        <v>125.91999800000001</v>
      </c>
      <c r="E123">
        <v>127.129997</v>
      </c>
      <c r="F123">
        <v>127.129997</v>
      </c>
      <c r="G123">
        <v>61889300</v>
      </c>
      <c r="H123" t="str">
        <f>TEXT(Table2[[#This Row],[Date]],"ddd")</f>
        <v>Mon</v>
      </c>
      <c r="I123" t="str">
        <f>TEXT(Table2[[#This Row],[Date]],"mmmm")</f>
        <v>July</v>
      </c>
      <c r="J123" t="str">
        <f>TEXT(Table2[[#This Row],[Date]],"yyyy")</f>
        <v>2023</v>
      </c>
    </row>
    <row r="124" spans="1:10" x14ac:dyDescent="0.3">
      <c r="A124" s="1">
        <v>45118</v>
      </c>
      <c r="B124">
        <v>127.75</v>
      </c>
      <c r="C124">
        <v>129.770004</v>
      </c>
      <c r="D124">
        <v>127.349998</v>
      </c>
      <c r="E124">
        <v>128.779999</v>
      </c>
      <c r="F124">
        <v>128.779999</v>
      </c>
      <c r="G124">
        <v>49951500</v>
      </c>
      <c r="H124" t="str">
        <f>TEXT(Table2[[#This Row],[Date]],"ddd")</f>
        <v>Tue</v>
      </c>
      <c r="I124" t="str">
        <f>TEXT(Table2[[#This Row],[Date]],"mmmm")</f>
        <v>July</v>
      </c>
      <c r="J124" t="str">
        <f>TEXT(Table2[[#This Row],[Date]],"yyyy")</f>
        <v>2023</v>
      </c>
    </row>
    <row r="125" spans="1:10" x14ac:dyDescent="0.3">
      <c r="A125" s="1">
        <v>45119</v>
      </c>
      <c r="B125">
        <v>130.30999800000001</v>
      </c>
      <c r="C125">
        <v>131.259995</v>
      </c>
      <c r="D125">
        <v>128.83000200000001</v>
      </c>
      <c r="E125">
        <v>130.800003</v>
      </c>
      <c r="F125">
        <v>130.800003</v>
      </c>
      <c r="G125">
        <v>54022800</v>
      </c>
      <c r="H125" t="str">
        <f>TEXT(Table2[[#This Row],[Date]],"ddd")</f>
        <v>Wed</v>
      </c>
      <c r="I125" t="str">
        <f>TEXT(Table2[[#This Row],[Date]],"mmmm")</f>
        <v>July</v>
      </c>
      <c r="J125" t="str">
        <f>TEXT(Table2[[#This Row],[Date]],"yyyy")</f>
        <v>2023</v>
      </c>
    </row>
    <row r="126" spans="1:10" x14ac:dyDescent="0.3">
      <c r="A126" s="1">
        <v>45120</v>
      </c>
      <c r="B126">
        <v>134.03999300000001</v>
      </c>
      <c r="C126">
        <v>134.66999799999999</v>
      </c>
      <c r="D126">
        <v>132.71000699999999</v>
      </c>
      <c r="E126">
        <v>134.300003</v>
      </c>
      <c r="F126">
        <v>134.300003</v>
      </c>
      <c r="G126">
        <v>61170900</v>
      </c>
      <c r="H126" t="str">
        <f>TEXT(Table2[[#This Row],[Date]],"ddd")</f>
        <v>Thu</v>
      </c>
      <c r="I126" t="str">
        <f>TEXT(Table2[[#This Row],[Date]],"mmmm")</f>
        <v>July</v>
      </c>
      <c r="J126" t="str">
        <f>TEXT(Table2[[#This Row],[Date]],"yyyy")</f>
        <v>2023</v>
      </c>
    </row>
    <row r="127" spans="1:10" x14ac:dyDescent="0.3">
      <c r="A127" s="1">
        <v>45121</v>
      </c>
      <c r="B127">
        <v>134.05999800000001</v>
      </c>
      <c r="C127">
        <v>136.64999399999999</v>
      </c>
      <c r="D127">
        <v>134.05999800000001</v>
      </c>
      <c r="E127">
        <v>134.679993</v>
      </c>
      <c r="F127">
        <v>134.679993</v>
      </c>
      <c r="G127">
        <v>54388100</v>
      </c>
      <c r="H127" t="str">
        <f>TEXT(Table2[[#This Row],[Date]],"ddd")</f>
        <v>Fri</v>
      </c>
      <c r="I127" t="str">
        <f>TEXT(Table2[[#This Row],[Date]],"mmmm")</f>
        <v>July</v>
      </c>
      <c r="J127" t="str">
        <f>TEXT(Table2[[#This Row],[Date]],"yyyy")</f>
        <v>2023</v>
      </c>
    </row>
    <row r="128" spans="1:10" x14ac:dyDescent="0.3">
      <c r="A128" s="1">
        <v>45124</v>
      </c>
      <c r="B128">
        <v>134.55999800000001</v>
      </c>
      <c r="C128">
        <v>135.61999499999999</v>
      </c>
      <c r="D128">
        <v>133.21000699999999</v>
      </c>
      <c r="E128">
        <v>133.55999800000001</v>
      </c>
      <c r="F128">
        <v>133.55999800000001</v>
      </c>
      <c r="G128">
        <v>48450200</v>
      </c>
      <c r="H128" t="str">
        <f>TEXT(Table2[[#This Row],[Date]],"ddd")</f>
        <v>Mon</v>
      </c>
      <c r="I128" t="str">
        <f>TEXT(Table2[[#This Row],[Date]],"mmmm")</f>
        <v>July</v>
      </c>
      <c r="J128" t="str">
        <f>TEXT(Table2[[#This Row],[Date]],"yyyy")</f>
        <v>2023</v>
      </c>
    </row>
    <row r="129" spans="1:10" x14ac:dyDescent="0.3">
      <c r="A129" s="1">
        <v>45125</v>
      </c>
      <c r="B129">
        <v>132.71000699999999</v>
      </c>
      <c r="C129">
        <v>133.86000100000001</v>
      </c>
      <c r="D129">
        <v>131.35000600000001</v>
      </c>
      <c r="E129">
        <v>132.83000200000001</v>
      </c>
      <c r="F129">
        <v>132.83000200000001</v>
      </c>
      <c r="G129">
        <v>54969100</v>
      </c>
      <c r="H129" t="str">
        <f>TEXT(Table2[[#This Row],[Date]],"ddd")</f>
        <v>Tue</v>
      </c>
      <c r="I129" t="str">
        <f>TEXT(Table2[[#This Row],[Date]],"mmmm")</f>
        <v>July</v>
      </c>
      <c r="J129" t="str">
        <f>TEXT(Table2[[#This Row],[Date]],"yyyy")</f>
        <v>2023</v>
      </c>
    </row>
    <row r="130" spans="1:10" x14ac:dyDescent="0.3">
      <c r="A130" s="1">
        <v>45126</v>
      </c>
      <c r="B130">
        <v>133.38999899999999</v>
      </c>
      <c r="C130">
        <v>135.990005</v>
      </c>
      <c r="D130">
        <v>132.529999</v>
      </c>
      <c r="E130">
        <v>135.36000100000001</v>
      </c>
      <c r="F130">
        <v>135.36000100000001</v>
      </c>
      <c r="G130">
        <v>54531000</v>
      </c>
      <c r="H130" t="str">
        <f>TEXT(Table2[[#This Row],[Date]],"ddd")</f>
        <v>Wed</v>
      </c>
      <c r="I130" t="str">
        <f>TEXT(Table2[[#This Row],[Date]],"mmmm")</f>
        <v>July</v>
      </c>
      <c r="J130" t="str">
        <f>TEXT(Table2[[#This Row],[Date]],"yyyy")</f>
        <v>2023</v>
      </c>
    </row>
    <row r="131" spans="1:10" x14ac:dyDescent="0.3">
      <c r="A131" s="1">
        <v>45127</v>
      </c>
      <c r="B131">
        <v>134.070007</v>
      </c>
      <c r="C131">
        <v>134.78999300000001</v>
      </c>
      <c r="D131">
        <v>129.33000200000001</v>
      </c>
      <c r="E131">
        <v>129.96000699999999</v>
      </c>
      <c r="F131">
        <v>129.96000699999999</v>
      </c>
      <c r="G131">
        <v>59820600</v>
      </c>
      <c r="H131" t="str">
        <f>TEXT(Table2[[#This Row],[Date]],"ddd")</f>
        <v>Thu</v>
      </c>
      <c r="I131" t="str">
        <f>TEXT(Table2[[#This Row],[Date]],"mmmm")</f>
        <v>July</v>
      </c>
      <c r="J131" t="str">
        <f>TEXT(Table2[[#This Row],[Date]],"yyyy")</f>
        <v>2023</v>
      </c>
    </row>
    <row r="132" spans="1:10" x14ac:dyDescent="0.3">
      <c r="A132" s="1">
        <v>45128</v>
      </c>
      <c r="B132">
        <v>131.33999600000001</v>
      </c>
      <c r="C132">
        <v>131.36999499999999</v>
      </c>
      <c r="D132">
        <v>128.41999799999999</v>
      </c>
      <c r="E132">
        <v>130</v>
      </c>
      <c r="F132">
        <v>130</v>
      </c>
      <c r="G132">
        <v>133265000</v>
      </c>
      <c r="H132" t="str">
        <f>TEXT(Table2[[#This Row],[Date]],"ddd")</f>
        <v>Fri</v>
      </c>
      <c r="I132" t="str">
        <f>TEXT(Table2[[#This Row],[Date]],"mmmm")</f>
        <v>July</v>
      </c>
      <c r="J132" t="str">
        <f>TEXT(Table2[[#This Row],[Date]],"yyyy")</f>
        <v>2023</v>
      </c>
    </row>
    <row r="133" spans="1:10" x14ac:dyDescent="0.3">
      <c r="A133" s="1">
        <v>45131</v>
      </c>
      <c r="B133">
        <v>130.30999800000001</v>
      </c>
      <c r="C133">
        <v>131.66000399999999</v>
      </c>
      <c r="D133">
        <v>128.35000600000001</v>
      </c>
      <c r="E133">
        <v>128.800003</v>
      </c>
      <c r="F133">
        <v>128.800003</v>
      </c>
      <c r="G133">
        <v>45591100</v>
      </c>
      <c r="H133" t="str">
        <f>TEXT(Table2[[#This Row],[Date]],"ddd")</f>
        <v>Mon</v>
      </c>
      <c r="I133" t="str">
        <f>TEXT(Table2[[#This Row],[Date]],"mmmm")</f>
        <v>July</v>
      </c>
      <c r="J133" t="str">
        <f>TEXT(Table2[[#This Row],[Date]],"yyyy")</f>
        <v>2023</v>
      </c>
    </row>
    <row r="134" spans="1:10" x14ac:dyDescent="0.3">
      <c r="A134" s="1">
        <v>45132</v>
      </c>
      <c r="B134">
        <v>129.30999800000001</v>
      </c>
      <c r="C134">
        <v>129.58000200000001</v>
      </c>
      <c r="D134">
        <v>128.529999</v>
      </c>
      <c r="E134">
        <v>129.13000500000001</v>
      </c>
      <c r="F134">
        <v>129.13000500000001</v>
      </c>
      <c r="G134">
        <v>39236700</v>
      </c>
      <c r="H134" t="str">
        <f>TEXT(Table2[[#This Row],[Date]],"ddd")</f>
        <v>Tue</v>
      </c>
      <c r="I134" t="str">
        <f>TEXT(Table2[[#This Row],[Date]],"mmmm")</f>
        <v>July</v>
      </c>
      <c r="J134" t="str">
        <f>TEXT(Table2[[#This Row],[Date]],"yyyy")</f>
        <v>2023</v>
      </c>
    </row>
    <row r="135" spans="1:10" x14ac:dyDescent="0.3">
      <c r="A135" s="1">
        <v>45133</v>
      </c>
      <c r="B135">
        <v>126.510002</v>
      </c>
      <c r="C135">
        <v>129.08000200000001</v>
      </c>
      <c r="D135">
        <v>126.110001</v>
      </c>
      <c r="E135">
        <v>128.14999399999999</v>
      </c>
      <c r="F135">
        <v>128.14999399999999</v>
      </c>
      <c r="G135">
        <v>53910100</v>
      </c>
      <c r="H135" t="str">
        <f>TEXT(Table2[[#This Row],[Date]],"ddd")</f>
        <v>Wed</v>
      </c>
      <c r="I135" t="str">
        <f>TEXT(Table2[[#This Row],[Date]],"mmmm")</f>
        <v>July</v>
      </c>
      <c r="J135" t="str">
        <f>TEXT(Table2[[#This Row],[Date]],"yyyy")</f>
        <v>2023</v>
      </c>
    </row>
    <row r="136" spans="1:10" x14ac:dyDescent="0.3">
      <c r="A136" s="1">
        <v>45134</v>
      </c>
      <c r="B136">
        <v>131</v>
      </c>
      <c r="C136">
        <v>132.63000500000001</v>
      </c>
      <c r="D136">
        <v>127.790001</v>
      </c>
      <c r="E136">
        <v>128.25</v>
      </c>
      <c r="F136">
        <v>128.25</v>
      </c>
      <c r="G136">
        <v>52610700</v>
      </c>
      <c r="H136" t="str">
        <f>TEXT(Table2[[#This Row],[Date]],"ddd")</f>
        <v>Thu</v>
      </c>
      <c r="I136" t="str">
        <f>TEXT(Table2[[#This Row],[Date]],"mmmm")</f>
        <v>July</v>
      </c>
      <c r="J136" t="str">
        <f>TEXT(Table2[[#This Row],[Date]],"yyyy")</f>
        <v>2023</v>
      </c>
    </row>
    <row r="137" spans="1:10" x14ac:dyDescent="0.3">
      <c r="A137" s="1">
        <v>45135</v>
      </c>
      <c r="B137">
        <v>129.69000199999999</v>
      </c>
      <c r="C137">
        <v>133.009995</v>
      </c>
      <c r="D137">
        <v>129.33000200000001</v>
      </c>
      <c r="E137">
        <v>132.21000699999999</v>
      </c>
      <c r="F137">
        <v>132.21000699999999</v>
      </c>
      <c r="G137">
        <v>46317400</v>
      </c>
      <c r="H137" t="str">
        <f>TEXT(Table2[[#This Row],[Date]],"ddd")</f>
        <v>Fri</v>
      </c>
      <c r="I137" t="str">
        <f>TEXT(Table2[[#This Row],[Date]],"mmmm")</f>
        <v>July</v>
      </c>
      <c r="J137" t="str">
        <f>TEXT(Table2[[#This Row],[Date]],"yyyy")</f>
        <v>2023</v>
      </c>
    </row>
    <row r="138" spans="1:10" x14ac:dyDescent="0.3">
      <c r="A138" s="1">
        <v>45138</v>
      </c>
      <c r="B138">
        <v>133.199997</v>
      </c>
      <c r="C138">
        <v>133.86999499999999</v>
      </c>
      <c r="D138">
        <v>132.38000500000001</v>
      </c>
      <c r="E138">
        <v>133.679993</v>
      </c>
      <c r="F138">
        <v>133.679993</v>
      </c>
      <c r="G138">
        <v>41901500</v>
      </c>
      <c r="H138" t="str">
        <f>TEXT(Table2[[#This Row],[Date]],"ddd")</f>
        <v>Mon</v>
      </c>
      <c r="I138" t="str">
        <f>TEXT(Table2[[#This Row],[Date]],"mmmm")</f>
        <v>July</v>
      </c>
      <c r="J138" t="str">
        <f>TEXT(Table2[[#This Row],[Date]],"yyyy")</f>
        <v>2023</v>
      </c>
    </row>
    <row r="139" spans="1:10" x14ac:dyDescent="0.3">
      <c r="A139" s="1">
        <v>45139</v>
      </c>
      <c r="B139">
        <v>133.550003</v>
      </c>
      <c r="C139">
        <v>133.69000199999999</v>
      </c>
      <c r="D139">
        <v>131.61999499999999</v>
      </c>
      <c r="E139">
        <v>131.69000199999999</v>
      </c>
      <c r="F139">
        <v>131.69000199999999</v>
      </c>
      <c r="G139">
        <v>42098500</v>
      </c>
      <c r="H139" t="str">
        <f>TEXT(Table2[[#This Row],[Date]],"ddd")</f>
        <v>Tue</v>
      </c>
      <c r="I139" t="str">
        <f>TEXT(Table2[[#This Row],[Date]],"mmmm")</f>
        <v>August</v>
      </c>
      <c r="J139" t="str">
        <f>TEXT(Table2[[#This Row],[Date]],"yyyy")</f>
        <v>2023</v>
      </c>
    </row>
    <row r="140" spans="1:10" x14ac:dyDescent="0.3">
      <c r="A140" s="1">
        <v>45140</v>
      </c>
      <c r="B140">
        <v>130.14999399999999</v>
      </c>
      <c r="C140">
        <v>130.229996</v>
      </c>
      <c r="D140">
        <v>126.82</v>
      </c>
      <c r="E140">
        <v>128.21000699999999</v>
      </c>
      <c r="F140">
        <v>128.21000699999999</v>
      </c>
      <c r="G140">
        <v>51027600</v>
      </c>
      <c r="H140" t="str">
        <f>TEXT(Table2[[#This Row],[Date]],"ddd")</f>
        <v>Wed</v>
      </c>
      <c r="I140" t="str">
        <f>TEXT(Table2[[#This Row],[Date]],"mmmm")</f>
        <v>August</v>
      </c>
      <c r="J140" t="str">
        <f>TEXT(Table2[[#This Row],[Date]],"yyyy")</f>
        <v>2023</v>
      </c>
    </row>
    <row r="141" spans="1:10" x14ac:dyDescent="0.3">
      <c r="A141" s="1">
        <v>45141</v>
      </c>
      <c r="B141">
        <v>127.480003</v>
      </c>
      <c r="C141">
        <v>129.83999600000001</v>
      </c>
      <c r="D141">
        <v>126.410004</v>
      </c>
      <c r="E141">
        <v>128.91000399999999</v>
      </c>
      <c r="F141">
        <v>128.91000399999999</v>
      </c>
      <c r="G141">
        <v>88585200</v>
      </c>
      <c r="H141" t="str">
        <f>TEXT(Table2[[#This Row],[Date]],"ddd")</f>
        <v>Thu</v>
      </c>
      <c r="I141" t="str">
        <f>TEXT(Table2[[#This Row],[Date]],"mmmm")</f>
        <v>August</v>
      </c>
      <c r="J141" t="str">
        <f>TEXT(Table2[[#This Row],[Date]],"yyyy")</f>
        <v>2023</v>
      </c>
    </row>
    <row r="142" spans="1:10" x14ac:dyDescent="0.3">
      <c r="A142" s="1">
        <v>45142</v>
      </c>
      <c r="B142">
        <v>141.05999800000001</v>
      </c>
      <c r="C142">
        <v>143.63000500000001</v>
      </c>
      <c r="D142">
        <v>139.320007</v>
      </c>
      <c r="E142">
        <v>139.570007</v>
      </c>
      <c r="F142">
        <v>139.570007</v>
      </c>
      <c r="G142">
        <v>152938700</v>
      </c>
      <c r="H142" t="str">
        <f>TEXT(Table2[[#This Row],[Date]],"ddd")</f>
        <v>Fri</v>
      </c>
      <c r="I142" t="str">
        <f>TEXT(Table2[[#This Row],[Date]],"mmmm")</f>
        <v>August</v>
      </c>
      <c r="J142" t="str">
        <f>TEXT(Table2[[#This Row],[Date]],"yyyy")</f>
        <v>2023</v>
      </c>
    </row>
    <row r="143" spans="1:10" x14ac:dyDescent="0.3">
      <c r="A143" s="1">
        <v>45145</v>
      </c>
      <c r="B143">
        <v>140.990005</v>
      </c>
      <c r="C143">
        <v>142.53999300000001</v>
      </c>
      <c r="D143">
        <v>138.949997</v>
      </c>
      <c r="E143">
        <v>142.220001</v>
      </c>
      <c r="F143">
        <v>142.220001</v>
      </c>
      <c r="G143">
        <v>71213100</v>
      </c>
      <c r="H143" t="str">
        <f>TEXT(Table2[[#This Row],[Date]],"ddd")</f>
        <v>Mon</v>
      </c>
      <c r="I143" t="str">
        <f>TEXT(Table2[[#This Row],[Date]],"mmmm")</f>
        <v>August</v>
      </c>
      <c r="J143" t="str">
        <f>TEXT(Table2[[#This Row],[Date]],"yyyy")</f>
        <v>2023</v>
      </c>
    </row>
    <row r="144" spans="1:10" x14ac:dyDescent="0.3">
      <c r="A144" s="1">
        <v>45146</v>
      </c>
      <c r="B144">
        <v>140.61999499999999</v>
      </c>
      <c r="C144">
        <v>140.83999600000001</v>
      </c>
      <c r="D144">
        <v>138.41999799999999</v>
      </c>
      <c r="E144">
        <v>139.94000199999999</v>
      </c>
      <c r="F144">
        <v>139.94000199999999</v>
      </c>
      <c r="G144">
        <v>51710500</v>
      </c>
      <c r="H144" t="str">
        <f>TEXT(Table2[[#This Row],[Date]],"ddd")</f>
        <v>Tue</v>
      </c>
      <c r="I144" t="str">
        <f>TEXT(Table2[[#This Row],[Date]],"mmmm")</f>
        <v>August</v>
      </c>
      <c r="J144" t="str">
        <f>TEXT(Table2[[#This Row],[Date]],"yyyy")</f>
        <v>2023</v>
      </c>
    </row>
    <row r="145" spans="1:10" x14ac:dyDescent="0.3">
      <c r="A145" s="1">
        <v>45147</v>
      </c>
      <c r="B145">
        <v>139.970001</v>
      </c>
      <c r="C145">
        <v>140.320007</v>
      </c>
      <c r="D145">
        <v>137.10000600000001</v>
      </c>
      <c r="E145">
        <v>137.85000600000001</v>
      </c>
      <c r="F145">
        <v>137.85000600000001</v>
      </c>
      <c r="G145">
        <v>50017300</v>
      </c>
      <c r="H145" t="str">
        <f>TEXT(Table2[[#This Row],[Date]],"ddd")</f>
        <v>Wed</v>
      </c>
      <c r="I145" t="str">
        <f>TEXT(Table2[[#This Row],[Date]],"mmmm")</f>
        <v>August</v>
      </c>
      <c r="J145" t="str">
        <f>TEXT(Table2[[#This Row],[Date]],"yyyy")</f>
        <v>2023</v>
      </c>
    </row>
    <row r="146" spans="1:10" x14ac:dyDescent="0.3">
      <c r="A146" s="1">
        <v>45148</v>
      </c>
      <c r="B146">
        <v>139.070007</v>
      </c>
      <c r="C146">
        <v>140.41000399999999</v>
      </c>
      <c r="D146">
        <v>137.490005</v>
      </c>
      <c r="E146">
        <v>138.55999800000001</v>
      </c>
      <c r="F146">
        <v>138.55999800000001</v>
      </c>
      <c r="G146">
        <v>58928400</v>
      </c>
      <c r="H146" t="str">
        <f>TEXT(Table2[[#This Row],[Date]],"ddd")</f>
        <v>Thu</v>
      </c>
      <c r="I146" t="str">
        <f>TEXT(Table2[[#This Row],[Date]],"mmmm")</f>
        <v>August</v>
      </c>
      <c r="J146" t="str">
        <f>TEXT(Table2[[#This Row],[Date]],"yyyy")</f>
        <v>2023</v>
      </c>
    </row>
    <row r="147" spans="1:10" x14ac:dyDescent="0.3">
      <c r="A147" s="1">
        <v>45149</v>
      </c>
      <c r="B147">
        <v>137.39999399999999</v>
      </c>
      <c r="C147">
        <v>139.33000200000001</v>
      </c>
      <c r="D147">
        <v>137</v>
      </c>
      <c r="E147">
        <v>138.41000399999999</v>
      </c>
      <c r="F147">
        <v>138.41000399999999</v>
      </c>
      <c r="G147">
        <v>42832100</v>
      </c>
      <c r="H147" t="str">
        <f>TEXT(Table2[[#This Row],[Date]],"ddd")</f>
        <v>Fri</v>
      </c>
      <c r="I147" t="str">
        <f>TEXT(Table2[[#This Row],[Date]],"mmmm")</f>
        <v>August</v>
      </c>
      <c r="J147" t="str">
        <f>TEXT(Table2[[#This Row],[Date]],"yyyy")</f>
        <v>2023</v>
      </c>
    </row>
    <row r="148" spans="1:10" x14ac:dyDescent="0.3">
      <c r="A148" s="1">
        <v>45152</v>
      </c>
      <c r="B148">
        <v>138.300003</v>
      </c>
      <c r="C148">
        <v>140.58999600000001</v>
      </c>
      <c r="D148">
        <v>137.75</v>
      </c>
      <c r="E148">
        <v>140.570007</v>
      </c>
      <c r="F148">
        <v>140.570007</v>
      </c>
      <c r="G148">
        <v>47148700</v>
      </c>
      <c r="H148" t="str">
        <f>TEXT(Table2[[#This Row],[Date]],"ddd")</f>
        <v>Mon</v>
      </c>
      <c r="I148" t="str">
        <f>TEXT(Table2[[#This Row],[Date]],"mmmm")</f>
        <v>August</v>
      </c>
      <c r="J148" t="str">
        <f>TEXT(Table2[[#This Row],[Date]],"yyyy")</f>
        <v>2023</v>
      </c>
    </row>
    <row r="149" spans="1:10" x14ac:dyDescent="0.3">
      <c r="A149" s="1">
        <v>45153</v>
      </c>
      <c r="B149">
        <v>140.050003</v>
      </c>
      <c r="C149">
        <v>141.279999</v>
      </c>
      <c r="D149">
        <v>137.229996</v>
      </c>
      <c r="E149">
        <v>137.66999799999999</v>
      </c>
      <c r="F149">
        <v>137.66999799999999</v>
      </c>
      <c r="G149">
        <v>42781500</v>
      </c>
      <c r="H149" t="str">
        <f>TEXT(Table2[[#This Row],[Date]],"ddd")</f>
        <v>Tue</v>
      </c>
      <c r="I149" t="str">
        <f>TEXT(Table2[[#This Row],[Date]],"mmmm")</f>
        <v>August</v>
      </c>
      <c r="J149" t="str">
        <f>TEXT(Table2[[#This Row],[Date]],"yyyy")</f>
        <v>2023</v>
      </c>
    </row>
    <row r="150" spans="1:10" x14ac:dyDescent="0.3">
      <c r="A150" s="1">
        <v>45154</v>
      </c>
      <c r="B150">
        <v>137.19000199999999</v>
      </c>
      <c r="C150">
        <v>137.270004</v>
      </c>
      <c r="D150">
        <v>135.009995</v>
      </c>
      <c r="E150">
        <v>135.070007</v>
      </c>
      <c r="F150">
        <v>135.070007</v>
      </c>
      <c r="G150">
        <v>41675900</v>
      </c>
      <c r="H150" t="str">
        <f>TEXT(Table2[[#This Row],[Date]],"ddd")</f>
        <v>Wed</v>
      </c>
      <c r="I150" t="str">
        <f>TEXT(Table2[[#This Row],[Date]],"mmmm")</f>
        <v>August</v>
      </c>
      <c r="J150" t="str">
        <f>TEXT(Table2[[#This Row],[Date]],"yyyy")</f>
        <v>2023</v>
      </c>
    </row>
    <row r="151" spans="1:10" x14ac:dyDescent="0.3">
      <c r="A151" s="1">
        <v>45155</v>
      </c>
      <c r="B151">
        <v>135.46000699999999</v>
      </c>
      <c r="C151">
        <v>136.08999600000001</v>
      </c>
      <c r="D151">
        <v>133.529999</v>
      </c>
      <c r="E151">
        <v>133.979996</v>
      </c>
      <c r="F151">
        <v>133.979996</v>
      </c>
      <c r="G151">
        <v>48354100</v>
      </c>
      <c r="H151" t="str">
        <f>TEXT(Table2[[#This Row],[Date]],"ddd")</f>
        <v>Thu</v>
      </c>
      <c r="I151" t="str">
        <f>TEXT(Table2[[#This Row],[Date]],"mmmm")</f>
        <v>August</v>
      </c>
      <c r="J151" t="str">
        <f>TEXT(Table2[[#This Row],[Date]],"yyyy")</f>
        <v>2023</v>
      </c>
    </row>
    <row r="152" spans="1:10" x14ac:dyDescent="0.3">
      <c r="A152" s="1">
        <v>45156</v>
      </c>
      <c r="B152">
        <v>131.61999499999999</v>
      </c>
      <c r="C152">
        <v>134.070007</v>
      </c>
      <c r="D152">
        <v>131.14999399999999</v>
      </c>
      <c r="E152">
        <v>133.220001</v>
      </c>
      <c r="F152">
        <v>133.220001</v>
      </c>
      <c r="G152">
        <v>48469400</v>
      </c>
      <c r="H152" t="str">
        <f>TEXT(Table2[[#This Row],[Date]],"ddd")</f>
        <v>Fri</v>
      </c>
      <c r="I152" t="str">
        <f>TEXT(Table2[[#This Row],[Date]],"mmmm")</f>
        <v>August</v>
      </c>
      <c r="J152" t="str">
        <f>TEXT(Table2[[#This Row],[Date]],"yyyy")</f>
        <v>2023</v>
      </c>
    </row>
    <row r="153" spans="1:10" x14ac:dyDescent="0.3">
      <c r="A153" s="1">
        <v>45159</v>
      </c>
      <c r="B153">
        <v>133.740005</v>
      </c>
      <c r="C153">
        <v>135.19000199999999</v>
      </c>
      <c r="D153">
        <v>132.71000699999999</v>
      </c>
      <c r="E153">
        <v>134.679993</v>
      </c>
      <c r="F153">
        <v>134.679993</v>
      </c>
      <c r="G153">
        <v>41442500</v>
      </c>
      <c r="H153" t="str">
        <f>TEXT(Table2[[#This Row],[Date]],"ddd")</f>
        <v>Mon</v>
      </c>
      <c r="I153" t="str">
        <f>TEXT(Table2[[#This Row],[Date]],"mmmm")</f>
        <v>August</v>
      </c>
      <c r="J153" t="str">
        <f>TEXT(Table2[[#This Row],[Date]],"yyyy")</f>
        <v>2023</v>
      </c>
    </row>
    <row r="154" spans="1:10" x14ac:dyDescent="0.3">
      <c r="A154" s="1">
        <v>45160</v>
      </c>
      <c r="B154">
        <v>135.08000200000001</v>
      </c>
      <c r="C154">
        <v>135.64999399999999</v>
      </c>
      <c r="D154">
        <v>133.729996</v>
      </c>
      <c r="E154">
        <v>134.25</v>
      </c>
      <c r="F154">
        <v>134.25</v>
      </c>
      <c r="G154">
        <v>32935100</v>
      </c>
      <c r="H154" t="str">
        <f>TEXT(Table2[[#This Row],[Date]],"ddd")</f>
        <v>Tue</v>
      </c>
      <c r="I154" t="str">
        <f>TEXT(Table2[[#This Row],[Date]],"mmmm")</f>
        <v>August</v>
      </c>
      <c r="J154" t="str">
        <f>TEXT(Table2[[#This Row],[Date]],"yyyy")</f>
        <v>2023</v>
      </c>
    </row>
    <row r="155" spans="1:10" x14ac:dyDescent="0.3">
      <c r="A155" s="1">
        <v>45161</v>
      </c>
      <c r="B155">
        <v>134.5</v>
      </c>
      <c r="C155">
        <v>135.949997</v>
      </c>
      <c r="D155">
        <v>133.220001</v>
      </c>
      <c r="E155">
        <v>135.520004</v>
      </c>
      <c r="F155">
        <v>135.520004</v>
      </c>
      <c r="G155">
        <v>42801000</v>
      </c>
      <c r="H155" t="str">
        <f>TEXT(Table2[[#This Row],[Date]],"ddd")</f>
        <v>Wed</v>
      </c>
      <c r="I155" t="str">
        <f>TEXT(Table2[[#This Row],[Date]],"mmmm")</f>
        <v>August</v>
      </c>
      <c r="J155" t="str">
        <f>TEXT(Table2[[#This Row],[Date]],"yyyy")</f>
        <v>2023</v>
      </c>
    </row>
    <row r="156" spans="1:10" x14ac:dyDescent="0.3">
      <c r="A156" s="1">
        <v>45162</v>
      </c>
      <c r="B156">
        <v>136.39999399999999</v>
      </c>
      <c r="C156">
        <v>136.779999</v>
      </c>
      <c r="D156">
        <v>131.83000200000001</v>
      </c>
      <c r="E156">
        <v>131.83999600000001</v>
      </c>
      <c r="F156">
        <v>131.83999600000001</v>
      </c>
      <c r="G156">
        <v>43646300</v>
      </c>
      <c r="H156" t="str">
        <f>TEXT(Table2[[#This Row],[Date]],"ddd")</f>
        <v>Thu</v>
      </c>
      <c r="I156" t="str">
        <f>TEXT(Table2[[#This Row],[Date]],"mmmm")</f>
        <v>August</v>
      </c>
      <c r="J156" t="str">
        <f>TEXT(Table2[[#This Row],[Date]],"yyyy")</f>
        <v>2023</v>
      </c>
    </row>
    <row r="157" spans="1:10" x14ac:dyDescent="0.3">
      <c r="A157" s="1">
        <v>45163</v>
      </c>
      <c r="B157">
        <v>132.470001</v>
      </c>
      <c r="C157">
        <v>133.86999499999999</v>
      </c>
      <c r="D157">
        <v>130.58000200000001</v>
      </c>
      <c r="E157">
        <v>133.259995</v>
      </c>
      <c r="F157">
        <v>133.259995</v>
      </c>
      <c r="G157">
        <v>44147500</v>
      </c>
      <c r="H157" t="str">
        <f>TEXT(Table2[[#This Row],[Date]],"ddd")</f>
        <v>Fri</v>
      </c>
      <c r="I157" t="str">
        <f>TEXT(Table2[[#This Row],[Date]],"mmmm")</f>
        <v>August</v>
      </c>
      <c r="J157" t="str">
        <f>TEXT(Table2[[#This Row],[Date]],"yyyy")</f>
        <v>2023</v>
      </c>
    </row>
    <row r="158" spans="1:10" x14ac:dyDescent="0.3">
      <c r="A158" s="1">
        <v>45166</v>
      </c>
      <c r="B158">
        <v>133.779999</v>
      </c>
      <c r="C158">
        <v>133.949997</v>
      </c>
      <c r="D158">
        <v>131.85000600000001</v>
      </c>
      <c r="E158">
        <v>133.13999899999999</v>
      </c>
      <c r="F158">
        <v>133.13999899999999</v>
      </c>
      <c r="G158">
        <v>34108400</v>
      </c>
      <c r="H158" t="str">
        <f>TEXT(Table2[[#This Row],[Date]],"ddd")</f>
        <v>Mon</v>
      </c>
      <c r="I158" t="str">
        <f>TEXT(Table2[[#This Row],[Date]],"mmmm")</f>
        <v>August</v>
      </c>
      <c r="J158" t="str">
        <f>TEXT(Table2[[#This Row],[Date]],"yyyy")</f>
        <v>2023</v>
      </c>
    </row>
    <row r="159" spans="1:10" x14ac:dyDescent="0.3">
      <c r="A159" s="1">
        <v>45167</v>
      </c>
      <c r="B159">
        <v>133.38000500000001</v>
      </c>
      <c r="C159">
        <v>135.13999899999999</v>
      </c>
      <c r="D159">
        <v>133.25</v>
      </c>
      <c r="E159">
        <v>134.91000399999999</v>
      </c>
      <c r="F159">
        <v>134.91000399999999</v>
      </c>
      <c r="G159">
        <v>38646100</v>
      </c>
      <c r="H159" t="str">
        <f>TEXT(Table2[[#This Row],[Date]],"ddd")</f>
        <v>Tue</v>
      </c>
      <c r="I159" t="str">
        <f>TEXT(Table2[[#This Row],[Date]],"mmmm")</f>
        <v>August</v>
      </c>
      <c r="J159" t="str">
        <f>TEXT(Table2[[#This Row],[Date]],"yyyy")</f>
        <v>2023</v>
      </c>
    </row>
    <row r="160" spans="1:10" x14ac:dyDescent="0.3">
      <c r="A160" s="1">
        <v>45168</v>
      </c>
      <c r="B160">
        <v>134.929993</v>
      </c>
      <c r="C160">
        <v>135.679993</v>
      </c>
      <c r="D160">
        <v>133.91999799999999</v>
      </c>
      <c r="E160">
        <v>135.070007</v>
      </c>
      <c r="F160">
        <v>135.070007</v>
      </c>
      <c r="G160">
        <v>36137000</v>
      </c>
      <c r="H160" t="str">
        <f>TEXT(Table2[[#This Row],[Date]],"ddd")</f>
        <v>Wed</v>
      </c>
      <c r="I160" t="str">
        <f>TEXT(Table2[[#This Row],[Date]],"mmmm")</f>
        <v>August</v>
      </c>
      <c r="J160" t="str">
        <f>TEXT(Table2[[#This Row],[Date]],"yyyy")</f>
        <v>2023</v>
      </c>
    </row>
    <row r="161" spans="1:10" x14ac:dyDescent="0.3">
      <c r="A161" s="1">
        <v>45169</v>
      </c>
      <c r="B161">
        <v>135.05999800000001</v>
      </c>
      <c r="C161">
        <v>138.78999300000001</v>
      </c>
      <c r="D161">
        <v>135</v>
      </c>
      <c r="E161">
        <v>138.009995</v>
      </c>
      <c r="F161">
        <v>138.009995</v>
      </c>
      <c r="G161">
        <v>58781300</v>
      </c>
      <c r="H161" t="str">
        <f>TEXT(Table2[[#This Row],[Date]],"ddd")</f>
        <v>Thu</v>
      </c>
      <c r="I161" t="str">
        <f>TEXT(Table2[[#This Row],[Date]],"mmmm")</f>
        <v>August</v>
      </c>
      <c r="J161" t="str">
        <f>TEXT(Table2[[#This Row],[Date]],"yyyy")</f>
        <v>2023</v>
      </c>
    </row>
    <row r="162" spans="1:10" x14ac:dyDescent="0.3">
      <c r="A162" s="1">
        <v>45170</v>
      </c>
      <c r="B162">
        <v>139.46000699999999</v>
      </c>
      <c r="C162">
        <v>139.96000699999999</v>
      </c>
      <c r="D162">
        <v>136.88000500000001</v>
      </c>
      <c r="E162">
        <v>138.11999499999999</v>
      </c>
      <c r="F162">
        <v>138.11999499999999</v>
      </c>
      <c r="G162">
        <v>40948300</v>
      </c>
      <c r="H162" t="str">
        <f>TEXT(Table2[[#This Row],[Date]],"ddd")</f>
        <v>Fri</v>
      </c>
      <c r="I162" t="str">
        <f>TEXT(Table2[[#This Row],[Date]],"mmmm")</f>
        <v>September</v>
      </c>
      <c r="J162" t="str">
        <f>TEXT(Table2[[#This Row],[Date]],"yyyy")</f>
        <v>2023</v>
      </c>
    </row>
    <row r="163" spans="1:10" x14ac:dyDescent="0.3">
      <c r="A163" s="1">
        <v>45174</v>
      </c>
      <c r="B163">
        <v>137.729996</v>
      </c>
      <c r="C163">
        <v>137.800003</v>
      </c>
      <c r="D163">
        <v>135.820007</v>
      </c>
      <c r="E163">
        <v>137.270004</v>
      </c>
      <c r="F163">
        <v>137.270004</v>
      </c>
      <c r="G163">
        <v>40636700</v>
      </c>
      <c r="H163" t="str">
        <f>TEXT(Table2[[#This Row],[Date]],"ddd")</f>
        <v>Tue</v>
      </c>
      <c r="I163" t="str">
        <f>TEXT(Table2[[#This Row],[Date]],"mmmm")</f>
        <v>September</v>
      </c>
      <c r="J163" t="str">
        <f>TEXT(Table2[[#This Row],[Date]],"yyyy")</f>
        <v>2023</v>
      </c>
    </row>
    <row r="164" spans="1:10" x14ac:dyDescent="0.3">
      <c r="A164" s="1">
        <v>45175</v>
      </c>
      <c r="B164">
        <v>136.320007</v>
      </c>
      <c r="C164">
        <v>137.449997</v>
      </c>
      <c r="D164">
        <v>134.61000100000001</v>
      </c>
      <c r="E164">
        <v>135.36000100000001</v>
      </c>
      <c r="F164">
        <v>135.36000100000001</v>
      </c>
      <c r="G164">
        <v>41785500</v>
      </c>
      <c r="H164" t="str">
        <f>TEXT(Table2[[#This Row],[Date]],"ddd")</f>
        <v>Wed</v>
      </c>
      <c r="I164" t="str">
        <f>TEXT(Table2[[#This Row],[Date]],"mmmm")</f>
        <v>September</v>
      </c>
      <c r="J164" t="str">
        <f>TEXT(Table2[[#This Row],[Date]],"yyyy")</f>
        <v>2023</v>
      </c>
    </row>
    <row r="165" spans="1:10" x14ac:dyDescent="0.3">
      <c r="A165" s="1">
        <v>45176</v>
      </c>
      <c r="B165">
        <v>133.89999399999999</v>
      </c>
      <c r="C165">
        <v>138.029999</v>
      </c>
      <c r="D165">
        <v>133.16000399999999</v>
      </c>
      <c r="E165">
        <v>137.85000600000001</v>
      </c>
      <c r="F165">
        <v>137.85000600000001</v>
      </c>
      <c r="G165">
        <v>48498900</v>
      </c>
      <c r="H165" t="str">
        <f>TEXT(Table2[[#This Row],[Date]],"ddd")</f>
        <v>Thu</v>
      </c>
      <c r="I165" t="str">
        <f>TEXT(Table2[[#This Row],[Date]],"mmmm")</f>
        <v>September</v>
      </c>
      <c r="J165" t="str">
        <f>TEXT(Table2[[#This Row],[Date]],"yyyy")</f>
        <v>2023</v>
      </c>
    </row>
    <row r="166" spans="1:10" x14ac:dyDescent="0.3">
      <c r="A166" s="1">
        <v>45177</v>
      </c>
      <c r="B166">
        <v>136.86000100000001</v>
      </c>
      <c r="C166">
        <v>138.85000600000001</v>
      </c>
      <c r="D166">
        <v>136.75</v>
      </c>
      <c r="E166">
        <v>138.229996</v>
      </c>
      <c r="F166">
        <v>138.229996</v>
      </c>
      <c r="G166">
        <v>38348200</v>
      </c>
      <c r="H166" t="str">
        <f>TEXT(Table2[[#This Row],[Date]],"ddd")</f>
        <v>Fri</v>
      </c>
      <c r="I166" t="str">
        <f>TEXT(Table2[[#This Row],[Date]],"mmmm")</f>
        <v>September</v>
      </c>
      <c r="J166" t="str">
        <f>TEXT(Table2[[#This Row],[Date]],"yyyy")</f>
        <v>2023</v>
      </c>
    </row>
    <row r="167" spans="1:10" x14ac:dyDescent="0.3">
      <c r="A167" s="1">
        <v>45180</v>
      </c>
      <c r="B167">
        <v>138.75</v>
      </c>
      <c r="C167">
        <v>143.61999499999999</v>
      </c>
      <c r="D167">
        <v>138.63999899999999</v>
      </c>
      <c r="E167">
        <v>143.10000600000001</v>
      </c>
      <c r="F167">
        <v>143.10000600000001</v>
      </c>
      <c r="G167">
        <v>56764500</v>
      </c>
      <c r="H167" t="str">
        <f>TEXT(Table2[[#This Row],[Date]],"ddd")</f>
        <v>Mon</v>
      </c>
      <c r="I167" t="str">
        <f>TEXT(Table2[[#This Row],[Date]],"mmmm")</f>
        <v>September</v>
      </c>
      <c r="J167" t="str">
        <f>TEXT(Table2[[#This Row],[Date]],"yyyy")</f>
        <v>2023</v>
      </c>
    </row>
    <row r="168" spans="1:10" x14ac:dyDescent="0.3">
      <c r="A168" s="1">
        <v>45181</v>
      </c>
      <c r="B168">
        <v>142.320007</v>
      </c>
      <c r="C168">
        <v>143</v>
      </c>
      <c r="D168">
        <v>140.61000100000001</v>
      </c>
      <c r="E168">
        <v>141.229996</v>
      </c>
      <c r="F168">
        <v>141.229996</v>
      </c>
      <c r="G168">
        <v>42668500</v>
      </c>
      <c r="H168" t="str">
        <f>TEXT(Table2[[#This Row],[Date]],"ddd")</f>
        <v>Tue</v>
      </c>
      <c r="I168" t="str">
        <f>TEXT(Table2[[#This Row],[Date]],"mmmm")</f>
        <v>September</v>
      </c>
      <c r="J168" t="str">
        <f>TEXT(Table2[[#This Row],[Date]],"yyyy")</f>
        <v>2023</v>
      </c>
    </row>
    <row r="169" spans="1:10" x14ac:dyDescent="0.3">
      <c r="A169" s="1">
        <v>45182</v>
      </c>
      <c r="B169">
        <v>140.949997</v>
      </c>
      <c r="C169">
        <v>144.979996</v>
      </c>
      <c r="D169">
        <v>140.86999499999999</v>
      </c>
      <c r="E169">
        <v>144.85000600000001</v>
      </c>
      <c r="F169">
        <v>144.85000600000001</v>
      </c>
      <c r="G169">
        <v>60465200</v>
      </c>
      <c r="H169" t="str">
        <f>TEXT(Table2[[#This Row],[Date]],"ddd")</f>
        <v>Wed</v>
      </c>
      <c r="I169" t="str">
        <f>TEXT(Table2[[#This Row],[Date]],"mmmm")</f>
        <v>September</v>
      </c>
      <c r="J169" t="str">
        <f>TEXT(Table2[[#This Row],[Date]],"yyyy")</f>
        <v>2023</v>
      </c>
    </row>
    <row r="170" spans="1:10" x14ac:dyDescent="0.3">
      <c r="A170" s="1">
        <v>45183</v>
      </c>
      <c r="B170">
        <v>145.08000200000001</v>
      </c>
      <c r="C170">
        <v>145.86000100000001</v>
      </c>
      <c r="D170">
        <v>142.949997</v>
      </c>
      <c r="E170">
        <v>144.720001</v>
      </c>
      <c r="F170">
        <v>144.720001</v>
      </c>
      <c r="G170">
        <v>64033600</v>
      </c>
      <c r="H170" t="str">
        <f>TEXT(Table2[[#This Row],[Date]],"ddd")</f>
        <v>Thu</v>
      </c>
      <c r="I170" t="str">
        <f>TEXT(Table2[[#This Row],[Date]],"mmmm")</f>
        <v>September</v>
      </c>
      <c r="J170" t="str">
        <f>TEXT(Table2[[#This Row],[Date]],"yyyy")</f>
        <v>2023</v>
      </c>
    </row>
    <row r="171" spans="1:10" x14ac:dyDescent="0.3">
      <c r="A171" s="1">
        <v>45184</v>
      </c>
      <c r="B171">
        <v>142.69000199999999</v>
      </c>
      <c r="C171">
        <v>143.570007</v>
      </c>
      <c r="D171">
        <v>140.08999600000001</v>
      </c>
      <c r="E171">
        <v>140.38999899999999</v>
      </c>
      <c r="F171">
        <v>140.38999899999999</v>
      </c>
      <c r="G171">
        <v>102861700</v>
      </c>
      <c r="H171" t="str">
        <f>TEXT(Table2[[#This Row],[Date]],"ddd")</f>
        <v>Fri</v>
      </c>
      <c r="I171" t="str">
        <f>TEXT(Table2[[#This Row],[Date]],"mmmm")</f>
        <v>September</v>
      </c>
      <c r="J171" t="str">
        <f>TEXT(Table2[[#This Row],[Date]],"yyyy")</f>
        <v>2023</v>
      </c>
    </row>
    <row r="172" spans="1:10" x14ac:dyDescent="0.3">
      <c r="A172" s="1">
        <v>45187</v>
      </c>
      <c r="B172">
        <v>140.479996</v>
      </c>
      <c r="C172">
        <v>141.75</v>
      </c>
      <c r="D172">
        <v>139.220001</v>
      </c>
      <c r="E172">
        <v>139.979996</v>
      </c>
      <c r="F172">
        <v>139.979996</v>
      </c>
      <c r="G172">
        <v>42823500</v>
      </c>
      <c r="H172" t="str">
        <f>TEXT(Table2[[#This Row],[Date]],"ddd")</f>
        <v>Mon</v>
      </c>
      <c r="I172" t="str">
        <f>TEXT(Table2[[#This Row],[Date]],"mmmm")</f>
        <v>September</v>
      </c>
      <c r="J172" t="str">
        <f>TEXT(Table2[[#This Row],[Date]],"yyyy")</f>
        <v>2023</v>
      </c>
    </row>
    <row r="173" spans="1:10" x14ac:dyDescent="0.3">
      <c r="A173" s="1">
        <v>45188</v>
      </c>
      <c r="B173">
        <v>138.699997</v>
      </c>
      <c r="C173">
        <v>138.83999600000001</v>
      </c>
      <c r="D173">
        <v>135.55999800000001</v>
      </c>
      <c r="E173">
        <v>137.63000500000001</v>
      </c>
      <c r="F173">
        <v>137.63000500000001</v>
      </c>
      <c r="G173">
        <v>61482500</v>
      </c>
      <c r="H173" t="str">
        <f>TEXT(Table2[[#This Row],[Date]],"ddd")</f>
        <v>Tue</v>
      </c>
      <c r="I173" t="str">
        <f>TEXT(Table2[[#This Row],[Date]],"mmmm")</f>
        <v>September</v>
      </c>
      <c r="J173" t="str">
        <f>TEXT(Table2[[#This Row],[Date]],"yyyy")</f>
        <v>2023</v>
      </c>
    </row>
    <row r="174" spans="1:10" x14ac:dyDescent="0.3">
      <c r="A174" s="1">
        <v>45189</v>
      </c>
      <c r="B174">
        <v>138.550003</v>
      </c>
      <c r="C174">
        <v>139.36999499999999</v>
      </c>
      <c r="D174">
        <v>135.199997</v>
      </c>
      <c r="E174">
        <v>135.28999300000001</v>
      </c>
      <c r="F174">
        <v>135.28999300000001</v>
      </c>
      <c r="G174">
        <v>46263700</v>
      </c>
      <c r="H174" t="str">
        <f>TEXT(Table2[[#This Row],[Date]],"ddd")</f>
        <v>Wed</v>
      </c>
      <c r="I174" t="str">
        <f>TEXT(Table2[[#This Row],[Date]],"mmmm")</f>
        <v>September</v>
      </c>
      <c r="J174" t="str">
        <f>TEXT(Table2[[#This Row],[Date]],"yyyy")</f>
        <v>2023</v>
      </c>
    </row>
    <row r="175" spans="1:10" x14ac:dyDescent="0.3">
      <c r="A175" s="1">
        <v>45190</v>
      </c>
      <c r="B175">
        <v>131.94000199999999</v>
      </c>
      <c r="C175">
        <v>132.240005</v>
      </c>
      <c r="D175">
        <v>129.30999800000001</v>
      </c>
      <c r="E175">
        <v>129.33000200000001</v>
      </c>
      <c r="F175">
        <v>129.33000200000001</v>
      </c>
      <c r="G175">
        <v>70234800</v>
      </c>
      <c r="H175" t="str">
        <f>TEXT(Table2[[#This Row],[Date]],"ddd")</f>
        <v>Thu</v>
      </c>
      <c r="I175" t="str">
        <f>TEXT(Table2[[#This Row],[Date]],"mmmm")</f>
        <v>September</v>
      </c>
      <c r="J175" t="str">
        <f>TEXT(Table2[[#This Row],[Date]],"yyyy")</f>
        <v>2023</v>
      </c>
    </row>
    <row r="176" spans="1:10" x14ac:dyDescent="0.3">
      <c r="A176" s="1">
        <v>45191</v>
      </c>
      <c r="B176">
        <v>131.11000100000001</v>
      </c>
      <c r="C176">
        <v>132.029999</v>
      </c>
      <c r="D176">
        <v>128.520004</v>
      </c>
      <c r="E176">
        <v>129.11999499999999</v>
      </c>
      <c r="F176">
        <v>129.11999499999999</v>
      </c>
      <c r="G176">
        <v>59904300</v>
      </c>
      <c r="H176" t="str">
        <f>TEXT(Table2[[#This Row],[Date]],"ddd")</f>
        <v>Fri</v>
      </c>
      <c r="I176" t="str">
        <f>TEXT(Table2[[#This Row],[Date]],"mmmm")</f>
        <v>September</v>
      </c>
      <c r="J176" t="str">
        <f>TEXT(Table2[[#This Row],[Date]],"yyyy")</f>
        <v>2023</v>
      </c>
    </row>
    <row r="177" spans="1:10" x14ac:dyDescent="0.3">
      <c r="A177" s="1">
        <v>45194</v>
      </c>
      <c r="B177">
        <v>129.36000100000001</v>
      </c>
      <c r="C177">
        <v>131.779999</v>
      </c>
      <c r="D177">
        <v>128.770004</v>
      </c>
      <c r="E177">
        <v>131.270004</v>
      </c>
      <c r="F177">
        <v>131.270004</v>
      </c>
      <c r="G177">
        <v>46017800</v>
      </c>
      <c r="H177" t="str">
        <f>TEXT(Table2[[#This Row],[Date]],"ddd")</f>
        <v>Mon</v>
      </c>
      <c r="I177" t="str">
        <f>TEXT(Table2[[#This Row],[Date]],"mmmm")</f>
        <v>September</v>
      </c>
      <c r="J177" t="str">
        <f>TEXT(Table2[[#This Row],[Date]],"yyyy")</f>
        <v>2023</v>
      </c>
    </row>
    <row r="178" spans="1:10" x14ac:dyDescent="0.3">
      <c r="A178" s="1">
        <v>45195</v>
      </c>
      <c r="B178">
        <v>130.11999499999999</v>
      </c>
      <c r="C178">
        <v>130.38999899999999</v>
      </c>
      <c r="D178">
        <v>125.279999</v>
      </c>
      <c r="E178">
        <v>125.980003</v>
      </c>
      <c r="F178">
        <v>125.980003</v>
      </c>
      <c r="G178">
        <v>73048200</v>
      </c>
      <c r="H178" t="str">
        <f>TEXT(Table2[[#This Row],[Date]],"ddd")</f>
        <v>Tue</v>
      </c>
      <c r="I178" t="str">
        <f>TEXT(Table2[[#This Row],[Date]],"mmmm")</f>
        <v>September</v>
      </c>
      <c r="J178" t="str">
        <f>TEXT(Table2[[#This Row],[Date]],"yyyy")</f>
        <v>2023</v>
      </c>
    </row>
    <row r="179" spans="1:10" x14ac:dyDescent="0.3">
      <c r="A179" s="1">
        <v>45196</v>
      </c>
      <c r="B179">
        <v>125.760002</v>
      </c>
      <c r="C179">
        <v>127.480003</v>
      </c>
      <c r="D179">
        <v>124.129997</v>
      </c>
      <c r="E179">
        <v>125.980003</v>
      </c>
      <c r="F179">
        <v>125.980003</v>
      </c>
      <c r="G179">
        <v>66553400</v>
      </c>
      <c r="H179" t="str">
        <f>TEXT(Table2[[#This Row],[Date]],"ddd")</f>
        <v>Wed</v>
      </c>
      <c r="I179" t="str">
        <f>TEXT(Table2[[#This Row],[Date]],"mmmm")</f>
        <v>September</v>
      </c>
      <c r="J179" t="str">
        <f>TEXT(Table2[[#This Row],[Date]],"yyyy")</f>
        <v>2023</v>
      </c>
    </row>
    <row r="180" spans="1:10" x14ac:dyDescent="0.3">
      <c r="A180" s="1">
        <v>45197</v>
      </c>
      <c r="B180">
        <v>124.040001</v>
      </c>
      <c r="C180">
        <v>126.58000199999999</v>
      </c>
      <c r="D180">
        <v>123.040001</v>
      </c>
      <c r="E180">
        <v>125.980003</v>
      </c>
      <c r="F180">
        <v>125.980003</v>
      </c>
      <c r="G180">
        <v>54555000</v>
      </c>
      <c r="H180" t="str">
        <f>TEXT(Table2[[#This Row],[Date]],"ddd")</f>
        <v>Thu</v>
      </c>
      <c r="I180" t="str">
        <f>TEXT(Table2[[#This Row],[Date]],"mmmm")</f>
        <v>September</v>
      </c>
      <c r="J180" t="str">
        <f>TEXT(Table2[[#This Row],[Date]],"yyyy")</f>
        <v>2023</v>
      </c>
    </row>
    <row r="181" spans="1:10" x14ac:dyDescent="0.3">
      <c r="A181" s="1">
        <v>45198</v>
      </c>
      <c r="B181">
        <v>128.199997</v>
      </c>
      <c r="C181">
        <v>129.14999399999999</v>
      </c>
      <c r="D181">
        <v>126.32</v>
      </c>
      <c r="E181">
        <v>127.120003</v>
      </c>
      <c r="F181">
        <v>127.120003</v>
      </c>
      <c r="G181">
        <v>62377600</v>
      </c>
      <c r="H181" t="str">
        <f>TEXT(Table2[[#This Row],[Date]],"ddd")</f>
        <v>Fri</v>
      </c>
      <c r="I181" t="str">
        <f>TEXT(Table2[[#This Row],[Date]],"mmmm")</f>
        <v>September</v>
      </c>
      <c r="J181" t="str">
        <f>TEXT(Table2[[#This Row],[Date]],"yyyy")</f>
        <v>2023</v>
      </c>
    </row>
    <row r="182" spans="1:10" x14ac:dyDescent="0.3">
      <c r="A182" s="1">
        <v>45201</v>
      </c>
      <c r="B182">
        <v>127.279999</v>
      </c>
      <c r="C182">
        <v>130.470001</v>
      </c>
      <c r="D182">
        <v>126.540001</v>
      </c>
      <c r="E182">
        <v>129.46000699999999</v>
      </c>
      <c r="F182">
        <v>129.46000699999999</v>
      </c>
      <c r="G182">
        <v>48029700</v>
      </c>
      <c r="H182" t="str">
        <f>TEXT(Table2[[#This Row],[Date]],"ddd")</f>
        <v>Mon</v>
      </c>
      <c r="I182" t="str">
        <f>TEXT(Table2[[#This Row],[Date]],"mmmm")</f>
        <v>October</v>
      </c>
      <c r="J182" t="str">
        <f>TEXT(Table2[[#This Row],[Date]],"yyyy")</f>
        <v>2023</v>
      </c>
    </row>
    <row r="183" spans="1:10" x14ac:dyDescent="0.3">
      <c r="A183" s="1">
        <v>45202</v>
      </c>
      <c r="B183">
        <v>128.05999800000001</v>
      </c>
      <c r="C183">
        <v>128.520004</v>
      </c>
      <c r="D183">
        <v>124.25</v>
      </c>
      <c r="E183">
        <v>124.720001</v>
      </c>
      <c r="F183">
        <v>124.720001</v>
      </c>
      <c r="G183">
        <v>51565000</v>
      </c>
      <c r="H183" t="str">
        <f>TEXT(Table2[[#This Row],[Date]],"ddd")</f>
        <v>Tue</v>
      </c>
      <c r="I183" t="str">
        <f>TEXT(Table2[[#This Row],[Date]],"mmmm")</f>
        <v>October</v>
      </c>
      <c r="J183" t="str">
        <f>TEXT(Table2[[#This Row],[Date]],"yyyy")</f>
        <v>2023</v>
      </c>
    </row>
    <row r="184" spans="1:10" x14ac:dyDescent="0.3">
      <c r="A184" s="1">
        <v>45203</v>
      </c>
      <c r="B184">
        <v>126.05999799999999</v>
      </c>
      <c r="C184">
        <v>127.360001</v>
      </c>
      <c r="D184">
        <v>125.68</v>
      </c>
      <c r="E184">
        <v>127</v>
      </c>
      <c r="F184">
        <v>127</v>
      </c>
      <c r="G184">
        <v>44203900</v>
      </c>
      <c r="H184" t="str">
        <f>TEXT(Table2[[#This Row],[Date]],"ddd")</f>
        <v>Wed</v>
      </c>
      <c r="I184" t="str">
        <f>TEXT(Table2[[#This Row],[Date]],"mmmm")</f>
        <v>October</v>
      </c>
      <c r="J184" t="str">
        <f>TEXT(Table2[[#This Row],[Date]],"yyyy")</f>
        <v>2023</v>
      </c>
    </row>
    <row r="185" spans="1:10" x14ac:dyDescent="0.3">
      <c r="A185" s="1">
        <v>45204</v>
      </c>
      <c r="B185">
        <v>126.709999</v>
      </c>
      <c r="C185">
        <v>126.730003</v>
      </c>
      <c r="D185">
        <v>124.33000199999999</v>
      </c>
      <c r="E185">
        <v>125.959999</v>
      </c>
      <c r="F185">
        <v>125.959999</v>
      </c>
      <c r="G185">
        <v>39660600</v>
      </c>
      <c r="H185" t="str">
        <f>TEXT(Table2[[#This Row],[Date]],"ddd")</f>
        <v>Thu</v>
      </c>
      <c r="I185" t="str">
        <f>TEXT(Table2[[#This Row],[Date]],"mmmm")</f>
        <v>October</v>
      </c>
      <c r="J185" t="str">
        <f>TEXT(Table2[[#This Row],[Date]],"yyyy")</f>
        <v>2023</v>
      </c>
    </row>
    <row r="186" spans="1:10" x14ac:dyDescent="0.3">
      <c r="A186" s="1">
        <v>45205</v>
      </c>
      <c r="B186">
        <v>124.160004</v>
      </c>
      <c r="C186">
        <v>128.449997</v>
      </c>
      <c r="D186">
        <v>124.129997</v>
      </c>
      <c r="E186">
        <v>127.959999</v>
      </c>
      <c r="F186">
        <v>127.959999</v>
      </c>
      <c r="G186">
        <v>46795900</v>
      </c>
      <c r="H186" t="str">
        <f>TEXT(Table2[[#This Row],[Date]],"ddd")</f>
        <v>Fri</v>
      </c>
      <c r="I186" t="str">
        <f>TEXT(Table2[[#This Row],[Date]],"mmmm")</f>
        <v>October</v>
      </c>
      <c r="J186" t="str">
        <f>TEXT(Table2[[#This Row],[Date]],"yyyy")</f>
        <v>2023</v>
      </c>
    </row>
    <row r="187" spans="1:10" x14ac:dyDescent="0.3">
      <c r="A187" s="1">
        <v>45208</v>
      </c>
      <c r="B187">
        <v>126.220001</v>
      </c>
      <c r="C187">
        <v>128.78999300000001</v>
      </c>
      <c r="D187">
        <v>124.760002</v>
      </c>
      <c r="E187">
        <v>128.259995</v>
      </c>
      <c r="F187">
        <v>128.259995</v>
      </c>
      <c r="G187">
        <v>38773700</v>
      </c>
      <c r="H187" t="str">
        <f>TEXT(Table2[[#This Row],[Date]],"ddd")</f>
        <v>Mon</v>
      </c>
      <c r="I187" t="str">
        <f>TEXT(Table2[[#This Row],[Date]],"mmmm")</f>
        <v>October</v>
      </c>
      <c r="J187" t="str">
        <f>TEXT(Table2[[#This Row],[Date]],"yyyy")</f>
        <v>2023</v>
      </c>
    </row>
    <row r="188" spans="1:10" x14ac:dyDescent="0.3">
      <c r="A188" s="1">
        <v>45209</v>
      </c>
      <c r="B188">
        <v>128.820007</v>
      </c>
      <c r="C188">
        <v>130.740005</v>
      </c>
      <c r="D188">
        <v>128.050003</v>
      </c>
      <c r="E188">
        <v>129.479996</v>
      </c>
      <c r="F188">
        <v>129.479996</v>
      </c>
      <c r="G188">
        <v>42178600</v>
      </c>
      <c r="H188" t="str">
        <f>TEXT(Table2[[#This Row],[Date]],"ddd")</f>
        <v>Tue</v>
      </c>
      <c r="I188" t="str">
        <f>TEXT(Table2[[#This Row],[Date]],"mmmm")</f>
        <v>October</v>
      </c>
      <c r="J188" t="str">
        <f>TEXT(Table2[[#This Row],[Date]],"yyyy")</f>
        <v>2023</v>
      </c>
    </row>
    <row r="189" spans="1:10" x14ac:dyDescent="0.3">
      <c r="A189" s="1">
        <v>45210</v>
      </c>
      <c r="B189">
        <v>129.740005</v>
      </c>
      <c r="C189">
        <v>132.050003</v>
      </c>
      <c r="D189">
        <v>129.61000100000001</v>
      </c>
      <c r="E189">
        <v>131.83000200000001</v>
      </c>
      <c r="F189">
        <v>131.83000200000001</v>
      </c>
      <c r="G189">
        <v>40741800</v>
      </c>
      <c r="H189" t="str">
        <f>TEXT(Table2[[#This Row],[Date]],"ddd")</f>
        <v>Wed</v>
      </c>
      <c r="I189" t="str">
        <f>TEXT(Table2[[#This Row],[Date]],"mmmm")</f>
        <v>October</v>
      </c>
      <c r="J189" t="str">
        <f>TEXT(Table2[[#This Row],[Date]],"yyyy")</f>
        <v>2023</v>
      </c>
    </row>
    <row r="190" spans="1:10" x14ac:dyDescent="0.3">
      <c r="A190" s="1">
        <v>45211</v>
      </c>
      <c r="B190">
        <v>132.16999799999999</v>
      </c>
      <c r="C190">
        <v>134.479996</v>
      </c>
      <c r="D190">
        <v>131.229996</v>
      </c>
      <c r="E190">
        <v>132.33000200000001</v>
      </c>
      <c r="F190">
        <v>132.33000200000001</v>
      </c>
      <c r="G190">
        <v>55528600</v>
      </c>
      <c r="H190" t="str">
        <f>TEXT(Table2[[#This Row],[Date]],"ddd")</f>
        <v>Thu</v>
      </c>
      <c r="I190" t="str">
        <f>TEXT(Table2[[#This Row],[Date]],"mmmm")</f>
        <v>October</v>
      </c>
      <c r="J190" t="str">
        <f>TEXT(Table2[[#This Row],[Date]],"yyyy")</f>
        <v>2023</v>
      </c>
    </row>
    <row r="191" spans="1:10" x14ac:dyDescent="0.3">
      <c r="A191" s="1">
        <v>45212</v>
      </c>
      <c r="B191">
        <v>132.979996</v>
      </c>
      <c r="C191">
        <v>133.30999800000001</v>
      </c>
      <c r="D191">
        <v>128.949997</v>
      </c>
      <c r="E191">
        <v>129.78999300000001</v>
      </c>
      <c r="F191">
        <v>129.78999300000001</v>
      </c>
      <c r="G191">
        <v>45786600</v>
      </c>
      <c r="H191" t="str">
        <f>TEXT(Table2[[#This Row],[Date]],"ddd")</f>
        <v>Fri</v>
      </c>
      <c r="I191" t="str">
        <f>TEXT(Table2[[#This Row],[Date]],"mmmm")</f>
        <v>October</v>
      </c>
      <c r="J191" t="str">
        <f>TEXT(Table2[[#This Row],[Date]],"yyyy")</f>
        <v>2023</v>
      </c>
    </row>
    <row r="192" spans="1:10" x14ac:dyDescent="0.3">
      <c r="A192" s="1">
        <v>45215</v>
      </c>
      <c r="B192">
        <v>130.69000199999999</v>
      </c>
      <c r="C192">
        <v>133.070007</v>
      </c>
      <c r="D192">
        <v>130.429993</v>
      </c>
      <c r="E192">
        <v>132.550003</v>
      </c>
      <c r="F192">
        <v>132.550003</v>
      </c>
      <c r="G192">
        <v>42832900</v>
      </c>
      <c r="H192" t="str">
        <f>TEXT(Table2[[#This Row],[Date]],"ddd")</f>
        <v>Mon</v>
      </c>
      <c r="I192" t="str">
        <f>TEXT(Table2[[#This Row],[Date]],"mmmm")</f>
        <v>October</v>
      </c>
      <c r="J192" t="str">
        <f>TEXT(Table2[[#This Row],[Date]],"yyyy")</f>
        <v>2023</v>
      </c>
    </row>
    <row r="193" spans="1:10" x14ac:dyDescent="0.3">
      <c r="A193" s="1">
        <v>45216</v>
      </c>
      <c r="B193">
        <v>130.38999899999999</v>
      </c>
      <c r="C193">
        <v>132.58000200000001</v>
      </c>
      <c r="D193">
        <v>128.71000699999999</v>
      </c>
      <c r="E193">
        <v>131.470001</v>
      </c>
      <c r="F193">
        <v>131.470001</v>
      </c>
      <c r="G193">
        <v>49344600</v>
      </c>
      <c r="H193" t="str">
        <f>TEXT(Table2[[#This Row],[Date]],"ddd")</f>
        <v>Tue</v>
      </c>
      <c r="I193" t="str">
        <f>TEXT(Table2[[#This Row],[Date]],"mmmm")</f>
        <v>October</v>
      </c>
      <c r="J193" t="str">
        <f>TEXT(Table2[[#This Row],[Date]],"yyyy")</f>
        <v>2023</v>
      </c>
    </row>
    <row r="194" spans="1:10" x14ac:dyDescent="0.3">
      <c r="A194" s="1">
        <v>45217</v>
      </c>
      <c r="B194">
        <v>129.89999399999999</v>
      </c>
      <c r="C194">
        <v>130.66999799999999</v>
      </c>
      <c r="D194">
        <v>127.510002</v>
      </c>
      <c r="E194">
        <v>128.13000500000001</v>
      </c>
      <c r="F194">
        <v>128.13000500000001</v>
      </c>
      <c r="G194">
        <v>42699500</v>
      </c>
      <c r="H194" t="str">
        <f>TEXT(Table2[[#This Row],[Date]],"ddd")</f>
        <v>Wed</v>
      </c>
      <c r="I194" t="str">
        <f>TEXT(Table2[[#This Row],[Date]],"mmmm")</f>
        <v>October</v>
      </c>
      <c r="J194" t="str">
        <f>TEXT(Table2[[#This Row],[Date]],"yyyy")</f>
        <v>2023</v>
      </c>
    </row>
    <row r="195" spans="1:10" x14ac:dyDescent="0.3">
      <c r="A195" s="1">
        <v>45218</v>
      </c>
      <c r="B195">
        <v>130.570007</v>
      </c>
      <c r="C195">
        <v>132.240005</v>
      </c>
      <c r="D195">
        <v>127.470001</v>
      </c>
      <c r="E195">
        <v>128.39999399999999</v>
      </c>
      <c r="F195">
        <v>128.39999399999999</v>
      </c>
      <c r="G195">
        <v>60961400</v>
      </c>
      <c r="H195" t="str">
        <f>TEXT(Table2[[#This Row],[Date]],"ddd")</f>
        <v>Thu</v>
      </c>
      <c r="I195" t="str">
        <f>TEXT(Table2[[#This Row],[Date]],"mmmm")</f>
        <v>October</v>
      </c>
      <c r="J195" t="str">
        <f>TEXT(Table2[[#This Row],[Date]],"yyyy")</f>
        <v>2023</v>
      </c>
    </row>
    <row r="196" spans="1:10" x14ac:dyDescent="0.3">
      <c r="A196" s="1">
        <v>45219</v>
      </c>
      <c r="B196">
        <v>128.050003</v>
      </c>
      <c r="C196">
        <v>128.16999799999999</v>
      </c>
      <c r="D196">
        <v>124.970001</v>
      </c>
      <c r="E196">
        <v>125.16999800000001</v>
      </c>
      <c r="F196">
        <v>125.16999800000001</v>
      </c>
      <c r="G196">
        <v>56343300</v>
      </c>
      <c r="H196" t="str">
        <f>TEXT(Table2[[#This Row],[Date]],"ddd")</f>
        <v>Fri</v>
      </c>
      <c r="I196" t="str">
        <f>TEXT(Table2[[#This Row],[Date]],"mmmm")</f>
        <v>October</v>
      </c>
      <c r="J196" t="str">
        <f>TEXT(Table2[[#This Row],[Date]],"yyyy")</f>
        <v>2023</v>
      </c>
    </row>
    <row r="197" spans="1:10" x14ac:dyDescent="0.3">
      <c r="A197" s="1">
        <v>45222</v>
      </c>
      <c r="B197">
        <v>124.629997</v>
      </c>
      <c r="C197">
        <v>127.879997</v>
      </c>
      <c r="D197">
        <v>123.980003</v>
      </c>
      <c r="E197">
        <v>126.55999799999999</v>
      </c>
      <c r="F197">
        <v>126.55999799999999</v>
      </c>
      <c r="G197">
        <v>48260000</v>
      </c>
      <c r="H197" t="str">
        <f>TEXT(Table2[[#This Row],[Date]],"ddd")</f>
        <v>Mon</v>
      </c>
      <c r="I197" t="str">
        <f>TEXT(Table2[[#This Row],[Date]],"mmmm")</f>
        <v>October</v>
      </c>
      <c r="J197" t="str">
        <f>TEXT(Table2[[#This Row],[Date]],"yyyy")</f>
        <v>2023</v>
      </c>
    </row>
    <row r="198" spans="1:10" x14ac:dyDescent="0.3">
      <c r="A198" s="1">
        <v>45223</v>
      </c>
      <c r="B198">
        <v>127.739998</v>
      </c>
      <c r="C198">
        <v>128.800003</v>
      </c>
      <c r="D198">
        <v>126.339996</v>
      </c>
      <c r="E198">
        <v>128.55999800000001</v>
      </c>
      <c r="F198">
        <v>128.55999800000001</v>
      </c>
      <c r="G198">
        <v>46477400</v>
      </c>
      <c r="H198" t="str">
        <f>TEXT(Table2[[#This Row],[Date]],"ddd")</f>
        <v>Tue</v>
      </c>
      <c r="I198" t="str">
        <f>TEXT(Table2[[#This Row],[Date]],"mmmm")</f>
        <v>October</v>
      </c>
      <c r="J198" t="str">
        <f>TEXT(Table2[[#This Row],[Date]],"yyyy")</f>
        <v>2023</v>
      </c>
    </row>
    <row r="199" spans="1:10" x14ac:dyDescent="0.3">
      <c r="A199" s="1">
        <v>45224</v>
      </c>
      <c r="B199">
        <v>126.040001</v>
      </c>
      <c r="C199">
        <v>126.339996</v>
      </c>
      <c r="D199">
        <v>120.790001</v>
      </c>
      <c r="E199">
        <v>121.389999</v>
      </c>
      <c r="F199">
        <v>121.389999</v>
      </c>
      <c r="G199">
        <v>74577500</v>
      </c>
      <c r="H199" t="str">
        <f>TEXT(Table2[[#This Row],[Date]],"ddd")</f>
        <v>Wed</v>
      </c>
      <c r="I199" t="str">
        <f>TEXT(Table2[[#This Row],[Date]],"mmmm")</f>
        <v>October</v>
      </c>
      <c r="J199" t="str">
        <f>TEXT(Table2[[#This Row],[Date]],"yyyy")</f>
        <v>2023</v>
      </c>
    </row>
    <row r="200" spans="1:10" x14ac:dyDescent="0.3">
      <c r="A200" s="1">
        <v>45225</v>
      </c>
      <c r="B200">
        <v>120.629997</v>
      </c>
      <c r="C200">
        <v>121.639999</v>
      </c>
      <c r="D200">
        <v>118.349998</v>
      </c>
      <c r="E200">
        <v>119.57</v>
      </c>
      <c r="F200">
        <v>119.57</v>
      </c>
      <c r="G200">
        <v>100419500</v>
      </c>
      <c r="H200" t="str">
        <f>TEXT(Table2[[#This Row],[Date]],"ddd")</f>
        <v>Thu</v>
      </c>
      <c r="I200" t="str">
        <f>TEXT(Table2[[#This Row],[Date]],"mmmm")</f>
        <v>October</v>
      </c>
      <c r="J200" t="str">
        <f>TEXT(Table2[[#This Row],[Date]],"yyyy")</f>
        <v>2023</v>
      </c>
    </row>
    <row r="201" spans="1:10" x14ac:dyDescent="0.3">
      <c r="A201" s="1">
        <v>45226</v>
      </c>
      <c r="B201">
        <v>126.199997</v>
      </c>
      <c r="C201">
        <v>130.020004</v>
      </c>
      <c r="D201">
        <v>125.519997</v>
      </c>
      <c r="E201">
        <v>127.739998</v>
      </c>
      <c r="F201">
        <v>127.739998</v>
      </c>
      <c r="G201">
        <v>125309300</v>
      </c>
      <c r="H201" t="str">
        <f>TEXT(Table2[[#This Row],[Date]],"ddd")</f>
        <v>Fri</v>
      </c>
      <c r="I201" t="str">
        <f>TEXT(Table2[[#This Row],[Date]],"mmmm")</f>
        <v>October</v>
      </c>
      <c r="J201" t="str">
        <f>TEXT(Table2[[#This Row],[Date]],"yyyy")</f>
        <v>2023</v>
      </c>
    </row>
    <row r="202" spans="1:10" x14ac:dyDescent="0.3">
      <c r="A202" s="1">
        <v>45229</v>
      </c>
      <c r="B202">
        <v>129.720001</v>
      </c>
      <c r="C202">
        <v>133</v>
      </c>
      <c r="D202">
        <v>128.55999800000001</v>
      </c>
      <c r="E202">
        <v>132.71000699999999</v>
      </c>
      <c r="F202">
        <v>132.71000699999999</v>
      </c>
      <c r="G202">
        <v>72485500</v>
      </c>
      <c r="H202" t="str">
        <f>TEXT(Table2[[#This Row],[Date]],"ddd")</f>
        <v>Mon</v>
      </c>
      <c r="I202" t="str">
        <f>TEXT(Table2[[#This Row],[Date]],"mmmm")</f>
        <v>October</v>
      </c>
      <c r="J202" t="str">
        <f>TEXT(Table2[[#This Row],[Date]],"yyyy")</f>
        <v>2023</v>
      </c>
    </row>
    <row r="203" spans="1:10" x14ac:dyDescent="0.3">
      <c r="A203" s="1">
        <v>45230</v>
      </c>
      <c r="B203">
        <v>132.75</v>
      </c>
      <c r="C203">
        <v>133.570007</v>
      </c>
      <c r="D203">
        <v>131.71000699999999</v>
      </c>
      <c r="E203">
        <v>133.08999600000001</v>
      </c>
      <c r="F203">
        <v>133.08999600000001</v>
      </c>
      <c r="G203">
        <v>51589400</v>
      </c>
      <c r="H203" t="str">
        <f>TEXT(Table2[[#This Row],[Date]],"ddd")</f>
        <v>Tue</v>
      </c>
      <c r="I203" t="str">
        <f>TEXT(Table2[[#This Row],[Date]],"mmmm")</f>
        <v>October</v>
      </c>
      <c r="J203" t="str">
        <f>TEXT(Table2[[#This Row],[Date]],"yyyy")</f>
        <v>2023</v>
      </c>
    </row>
    <row r="204" spans="1:10" x14ac:dyDescent="0.3">
      <c r="A204" s="1">
        <v>45231</v>
      </c>
      <c r="B204">
        <v>133.96000699999999</v>
      </c>
      <c r="C204">
        <v>137.35000600000001</v>
      </c>
      <c r="D204">
        <v>133.71000699999999</v>
      </c>
      <c r="E204">
        <v>137</v>
      </c>
      <c r="F204">
        <v>137</v>
      </c>
      <c r="G204">
        <v>61529400</v>
      </c>
      <c r="H204" t="str">
        <f>TEXT(Table2[[#This Row],[Date]],"ddd")</f>
        <v>Wed</v>
      </c>
      <c r="I204" t="str">
        <f>TEXT(Table2[[#This Row],[Date]],"mmmm")</f>
        <v>November</v>
      </c>
      <c r="J204" t="str">
        <f>TEXT(Table2[[#This Row],[Date]],"yyyy")</f>
        <v>2023</v>
      </c>
    </row>
    <row r="205" spans="1:10" x14ac:dyDescent="0.3">
      <c r="A205" s="1">
        <v>45232</v>
      </c>
      <c r="B205">
        <v>138.729996</v>
      </c>
      <c r="C205">
        <v>138.80999800000001</v>
      </c>
      <c r="D205">
        <v>136.470001</v>
      </c>
      <c r="E205">
        <v>138.070007</v>
      </c>
      <c r="F205">
        <v>138.070007</v>
      </c>
      <c r="G205">
        <v>52236700</v>
      </c>
      <c r="H205" t="str">
        <f>TEXT(Table2[[#This Row],[Date]],"ddd")</f>
        <v>Thu</v>
      </c>
      <c r="I205" t="str">
        <f>TEXT(Table2[[#This Row],[Date]],"mmmm")</f>
        <v>November</v>
      </c>
      <c r="J205" t="str">
        <f>TEXT(Table2[[#This Row],[Date]],"yyyy")</f>
        <v>2023</v>
      </c>
    </row>
    <row r="206" spans="1:10" x14ac:dyDescent="0.3">
      <c r="A206" s="1">
        <v>45233</v>
      </c>
      <c r="B206">
        <v>138.990005</v>
      </c>
      <c r="C206">
        <v>139.490005</v>
      </c>
      <c r="D206">
        <v>137.449997</v>
      </c>
      <c r="E206">
        <v>138.60000600000001</v>
      </c>
      <c r="F206">
        <v>138.60000600000001</v>
      </c>
      <c r="G206">
        <v>44007200</v>
      </c>
      <c r="H206" t="str">
        <f>TEXT(Table2[[#This Row],[Date]],"ddd")</f>
        <v>Fri</v>
      </c>
      <c r="I206" t="str">
        <f>TEXT(Table2[[#This Row],[Date]],"mmmm")</f>
        <v>November</v>
      </c>
      <c r="J206" t="str">
        <f>TEXT(Table2[[#This Row],[Date]],"yyyy")</f>
        <v>2023</v>
      </c>
    </row>
    <row r="207" spans="1:10" x14ac:dyDescent="0.3">
      <c r="A207" s="1">
        <v>45236</v>
      </c>
      <c r="B207">
        <v>138.759995</v>
      </c>
      <c r="C207">
        <v>140.729996</v>
      </c>
      <c r="D207">
        <v>138.36000100000001</v>
      </c>
      <c r="E207">
        <v>139.740005</v>
      </c>
      <c r="F207">
        <v>139.740005</v>
      </c>
      <c r="G207">
        <v>44970400</v>
      </c>
      <c r="H207" t="str">
        <f>TEXT(Table2[[#This Row],[Date]],"ddd")</f>
        <v>Mon</v>
      </c>
      <c r="I207" t="str">
        <f>TEXT(Table2[[#This Row],[Date]],"mmmm")</f>
        <v>November</v>
      </c>
      <c r="J207" t="str">
        <f>TEXT(Table2[[#This Row],[Date]],"yyyy")</f>
        <v>2023</v>
      </c>
    </row>
    <row r="208" spans="1:10" x14ac:dyDescent="0.3">
      <c r="A208" s="1">
        <v>45237</v>
      </c>
      <c r="B208">
        <v>140.550003</v>
      </c>
      <c r="C208">
        <v>143.36999499999999</v>
      </c>
      <c r="D208">
        <v>140.5</v>
      </c>
      <c r="E208">
        <v>142.71000699999999</v>
      </c>
      <c r="F208">
        <v>142.71000699999999</v>
      </c>
      <c r="G208">
        <v>53553500</v>
      </c>
      <c r="H208" t="str">
        <f>TEXT(Table2[[#This Row],[Date]],"ddd")</f>
        <v>Tue</v>
      </c>
      <c r="I208" t="str">
        <f>TEXT(Table2[[#This Row],[Date]],"mmmm")</f>
        <v>November</v>
      </c>
      <c r="J208" t="str">
        <f>TEXT(Table2[[#This Row],[Date]],"yyyy")</f>
        <v>2023</v>
      </c>
    </row>
    <row r="209" spans="1:10" x14ac:dyDescent="0.3">
      <c r="A209" s="1">
        <v>45238</v>
      </c>
      <c r="B209">
        <v>142.970001</v>
      </c>
      <c r="C209">
        <v>143.11999499999999</v>
      </c>
      <c r="D209">
        <v>141.220001</v>
      </c>
      <c r="E209">
        <v>142.08000200000001</v>
      </c>
      <c r="F209">
        <v>142.08000200000001</v>
      </c>
      <c r="G209">
        <v>44521700</v>
      </c>
      <c r="H209" t="str">
        <f>TEXT(Table2[[#This Row],[Date]],"ddd")</f>
        <v>Wed</v>
      </c>
      <c r="I209" t="str">
        <f>TEXT(Table2[[#This Row],[Date]],"mmmm")</f>
        <v>November</v>
      </c>
      <c r="J209" t="str">
        <f>TEXT(Table2[[#This Row],[Date]],"yyyy")</f>
        <v>2023</v>
      </c>
    </row>
    <row r="210" spans="1:10" x14ac:dyDescent="0.3">
      <c r="A210" s="1">
        <v>45239</v>
      </c>
      <c r="B210">
        <v>142.020004</v>
      </c>
      <c r="C210">
        <v>142.64999399999999</v>
      </c>
      <c r="D210">
        <v>139.83999600000001</v>
      </c>
      <c r="E210">
        <v>140.60000600000001</v>
      </c>
      <c r="F210">
        <v>140.60000600000001</v>
      </c>
      <c r="G210">
        <v>36235400</v>
      </c>
      <c r="H210" t="str">
        <f>TEXT(Table2[[#This Row],[Date]],"ddd")</f>
        <v>Thu</v>
      </c>
      <c r="I210" t="str">
        <f>TEXT(Table2[[#This Row],[Date]],"mmmm")</f>
        <v>November</v>
      </c>
      <c r="J210" t="str">
        <f>TEXT(Table2[[#This Row],[Date]],"yyyy")</f>
        <v>2023</v>
      </c>
    </row>
    <row r="211" spans="1:10" x14ac:dyDescent="0.3">
      <c r="A211" s="1">
        <v>45240</v>
      </c>
      <c r="B211">
        <v>140.46000699999999</v>
      </c>
      <c r="C211">
        <v>143.64999399999999</v>
      </c>
      <c r="D211">
        <v>139.91000399999999</v>
      </c>
      <c r="E211">
        <v>143.55999800000001</v>
      </c>
      <c r="F211">
        <v>143.55999800000001</v>
      </c>
      <c r="G211">
        <v>49287800</v>
      </c>
      <c r="H211" t="str">
        <f>TEXT(Table2[[#This Row],[Date]],"ddd")</f>
        <v>Fri</v>
      </c>
      <c r="I211" t="str">
        <f>TEXT(Table2[[#This Row],[Date]],"mmmm")</f>
        <v>November</v>
      </c>
      <c r="J211" t="str">
        <f>TEXT(Table2[[#This Row],[Date]],"yyyy")</f>
        <v>2023</v>
      </c>
    </row>
    <row r="212" spans="1:10" x14ac:dyDescent="0.3">
      <c r="A212" s="1">
        <v>45243</v>
      </c>
      <c r="B212">
        <v>142.08000200000001</v>
      </c>
      <c r="C212">
        <v>143.229996</v>
      </c>
      <c r="D212">
        <v>140.66999799999999</v>
      </c>
      <c r="E212">
        <v>142.58999600000001</v>
      </c>
      <c r="F212">
        <v>142.58999600000001</v>
      </c>
      <c r="G212">
        <v>35680600</v>
      </c>
      <c r="H212" t="str">
        <f>TEXT(Table2[[#This Row],[Date]],"ddd")</f>
        <v>Mon</v>
      </c>
      <c r="I212" t="str">
        <f>TEXT(Table2[[#This Row],[Date]],"mmmm")</f>
        <v>November</v>
      </c>
      <c r="J212" t="str">
        <f>TEXT(Table2[[#This Row],[Date]],"yyyy")</f>
        <v>2023</v>
      </c>
    </row>
    <row r="213" spans="1:10" x14ac:dyDescent="0.3">
      <c r="A213" s="1">
        <v>45244</v>
      </c>
      <c r="B213">
        <v>145</v>
      </c>
      <c r="C213">
        <v>147.259995</v>
      </c>
      <c r="D213">
        <v>144.679993</v>
      </c>
      <c r="E213">
        <v>145.800003</v>
      </c>
      <c r="F213">
        <v>145.800003</v>
      </c>
      <c r="G213">
        <v>56674600</v>
      </c>
      <c r="H213" t="str">
        <f>TEXT(Table2[[#This Row],[Date]],"ddd")</f>
        <v>Tue</v>
      </c>
      <c r="I213" t="str">
        <f>TEXT(Table2[[#This Row],[Date]],"mmmm")</f>
        <v>November</v>
      </c>
      <c r="J213" t="str">
        <f>TEXT(Table2[[#This Row],[Date]],"yyyy")</f>
        <v>2023</v>
      </c>
    </row>
    <row r="214" spans="1:10" x14ac:dyDescent="0.3">
      <c r="A214" s="1">
        <v>45245</v>
      </c>
      <c r="B214">
        <v>147.05999800000001</v>
      </c>
      <c r="C214">
        <v>147.28999300000001</v>
      </c>
      <c r="D214">
        <v>142.58999600000001</v>
      </c>
      <c r="E214">
        <v>143.199997</v>
      </c>
      <c r="F214">
        <v>143.199997</v>
      </c>
      <c r="G214">
        <v>63875700</v>
      </c>
      <c r="H214" t="str">
        <f>TEXT(Table2[[#This Row],[Date]],"ddd")</f>
        <v>Wed</v>
      </c>
      <c r="I214" t="str">
        <f>TEXT(Table2[[#This Row],[Date]],"mmmm")</f>
        <v>November</v>
      </c>
      <c r="J214" t="str">
        <f>TEXT(Table2[[#This Row],[Date]],"yyyy")</f>
        <v>2023</v>
      </c>
    </row>
    <row r="215" spans="1:10" x14ac:dyDescent="0.3">
      <c r="A215" s="1">
        <v>45246</v>
      </c>
      <c r="B215">
        <v>140.91000399999999</v>
      </c>
      <c r="C215">
        <v>143.320007</v>
      </c>
      <c r="D215">
        <v>139.520004</v>
      </c>
      <c r="E215">
        <v>142.83000200000001</v>
      </c>
      <c r="F215">
        <v>142.83000200000001</v>
      </c>
      <c r="G215">
        <v>49653500</v>
      </c>
      <c r="H215" t="str">
        <f>TEXT(Table2[[#This Row],[Date]],"ddd")</f>
        <v>Thu</v>
      </c>
      <c r="I215" t="str">
        <f>TEXT(Table2[[#This Row],[Date]],"mmmm")</f>
        <v>November</v>
      </c>
      <c r="J215" t="str">
        <f>TEXT(Table2[[#This Row],[Date]],"yyyy")</f>
        <v>2023</v>
      </c>
    </row>
    <row r="216" spans="1:10" x14ac:dyDescent="0.3">
      <c r="A216" s="1">
        <v>45247</v>
      </c>
      <c r="B216">
        <v>142.66000399999999</v>
      </c>
      <c r="C216">
        <v>145.229996</v>
      </c>
      <c r="D216">
        <v>142.53999300000001</v>
      </c>
      <c r="E216">
        <v>145.179993</v>
      </c>
      <c r="F216">
        <v>145.179993</v>
      </c>
      <c r="G216">
        <v>49636700</v>
      </c>
      <c r="H216" t="str">
        <f>TEXT(Table2[[#This Row],[Date]],"ddd")</f>
        <v>Fri</v>
      </c>
      <c r="I216" t="str">
        <f>TEXT(Table2[[#This Row],[Date]],"mmmm")</f>
        <v>November</v>
      </c>
      <c r="J216" t="str">
        <f>TEXT(Table2[[#This Row],[Date]],"yyyy")</f>
        <v>2023</v>
      </c>
    </row>
    <row r="217" spans="1:10" x14ac:dyDescent="0.3">
      <c r="A217" s="1">
        <v>45250</v>
      </c>
      <c r="B217">
        <v>145.13000500000001</v>
      </c>
      <c r="C217">
        <v>146.63000500000001</v>
      </c>
      <c r="D217">
        <v>144.729996</v>
      </c>
      <c r="E217">
        <v>146.13000500000001</v>
      </c>
      <c r="F217">
        <v>146.13000500000001</v>
      </c>
      <c r="G217">
        <v>41951200</v>
      </c>
      <c r="H217" t="str">
        <f>TEXT(Table2[[#This Row],[Date]],"ddd")</f>
        <v>Mon</v>
      </c>
      <c r="I217" t="str">
        <f>TEXT(Table2[[#This Row],[Date]],"mmmm")</f>
        <v>November</v>
      </c>
      <c r="J217" t="str">
        <f>TEXT(Table2[[#This Row],[Date]],"yyyy")</f>
        <v>2023</v>
      </c>
    </row>
    <row r="218" spans="1:10" x14ac:dyDescent="0.3">
      <c r="A218" s="1">
        <v>45251</v>
      </c>
      <c r="B218">
        <v>143.91000399999999</v>
      </c>
      <c r="C218">
        <v>144.050003</v>
      </c>
      <c r="D218">
        <v>141.5</v>
      </c>
      <c r="E218">
        <v>143.89999399999999</v>
      </c>
      <c r="F218">
        <v>143.89999399999999</v>
      </c>
      <c r="G218">
        <v>71226000</v>
      </c>
      <c r="H218" t="str">
        <f>TEXT(Table2[[#This Row],[Date]],"ddd")</f>
        <v>Tue</v>
      </c>
      <c r="I218" t="str">
        <f>TEXT(Table2[[#This Row],[Date]],"mmmm")</f>
        <v>November</v>
      </c>
      <c r="J218" t="str">
        <f>TEXT(Table2[[#This Row],[Date]],"yyyy")</f>
        <v>2023</v>
      </c>
    </row>
    <row r="219" spans="1:10" x14ac:dyDescent="0.3">
      <c r="A219" s="1">
        <v>45252</v>
      </c>
      <c r="B219">
        <v>144.570007</v>
      </c>
      <c r="C219">
        <v>147.740005</v>
      </c>
      <c r="D219">
        <v>144.570007</v>
      </c>
      <c r="E219">
        <v>146.71000699999999</v>
      </c>
      <c r="F219">
        <v>146.71000699999999</v>
      </c>
      <c r="G219">
        <v>45669100</v>
      </c>
      <c r="H219" t="str">
        <f>TEXT(Table2[[#This Row],[Date]],"ddd")</f>
        <v>Wed</v>
      </c>
      <c r="I219" t="str">
        <f>TEXT(Table2[[#This Row],[Date]],"mmmm")</f>
        <v>November</v>
      </c>
      <c r="J219" t="str">
        <f>TEXT(Table2[[#This Row],[Date]],"yyyy")</f>
        <v>2023</v>
      </c>
    </row>
    <row r="220" spans="1:10" x14ac:dyDescent="0.3">
      <c r="A220" s="1">
        <v>45254</v>
      </c>
      <c r="B220">
        <v>146.699997</v>
      </c>
      <c r="C220">
        <v>147.199997</v>
      </c>
      <c r="D220">
        <v>145.320007</v>
      </c>
      <c r="E220">
        <v>146.740005</v>
      </c>
      <c r="F220">
        <v>146.740005</v>
      </c>
      <c r="G220">
        <v>22378400</v>
      </c>
      <c r="H220" t="str">
        <f>TEXT(Table2[[#This Row],[Date]],"ddd")</f>
        <v>Fri</v>
      </c>
      <c r="I220" t="str">
        <f>TEXT(Table2[[#This Row],[Date]],"mmmm")</f>
        <v>November</v>
      </c>
      <c r="J220" t="str">
        <f>TEXT(Table2[[#This Row],[Date]],"yyyy")</f>
        <v>2023</v>
      </c>
    </row>
    <row r="221" spans="1:10" x14ac:dyDescent="0.3">
      <c r="A221" s="1">
        <v>45257</v>
      </c>
      <c r="B221">
        <v>147.529999</v>
      </c>
      <c r="C221">
        <v>149.259995</v>
      </c>
      <c r="D221">
        <v>146.88000500000001</v>
      </c>
      <c r="E221">
        <v>147.729996</v>
      </c>
      <c r="F221">
        <v>147.729996</v>
      </c>
      <c r="G221">
        <v>53762400</v>
      </c>
      <c r="H221" t="str">
        <f>TEXT(Table2[[#This Row],[Date]],"ddd")</f>
        <v>Mon</v>
      </c>
      <c r="I221" t="str">
        <f>TEXT(Table2[[#This Row],[Date]],"mmmm")</f>
        <v>November</v>
      </c>
      <c r="J221" t="str">
        <f>TEXT(Table2[[#This Row],[Date]],"yyyy")</f>
        <v>2023</v>
      </c>
    </row>
    <row r="222" spans="1:10" x14ac:dyDescent="0.3">
      <c r="A222" s="1">
        <v>45258</v>
      </c>
      <c r="B222">
        <v>146.979996</v>
      </c>
      <c r="C222">
        <v>147.60000600000001</v>
      </c>
      <c r="D222">
        <v>145.529999</v>
      </c>
      <c r="E222">
        <v>147.029999</v>
      </c>
      <c r="F222">
        <v>147.029999</v>
      </c>
      <c r="G222">
        <v>42711700</v>
      </c>
      <c r="H222" t="str">
        <f>TEXT(Table2[[#This Row],[Date]],"ddd")</f>
        <v>Tue</v>
      </c>
      <c r="I222" t="str">
        <f>TEXT(Table2[[#This Row],[Date]],"mmmm")</f>
        <v>November</v>
      </c>
      <c r="J222" t="str">
        <f>TEXT(Table2[[#This Row],[Date]],"yyyy")</f>
        <v>2023</v>
      </c>
    </row>
    <row r="223" spans="1:10" x14ac:dyDescent="0.3">
      <c r="A223" s="1">
        <v>45259</v>
      </c>
      <c r="B223">
        <v>147.85000600000001</v>
      </c>
      <c r="C223">
        <v>148.53999300000001</v>
      </c>
      <c r="D223">
        <v>145.970001</v>
      </c>
      <c r="E223">
        <v>146.320007</v>
      </c>
      <c r="F223">
        <v>146.320007</v>
      </c>
      <c r="G223">
        <v>40610900</v>
      </c>
      <c r="H223" t="str">
        <f>TEXT(Table2[[#This Row],[Date]],"ddd")</f>
        <v>Wed</v>
      </c>
      <c r="I223" t="str">
        <f>TEXT(Table2[[#This Row],[Date]],"mmmm")</f>
        <v>November</v>
      </c>
      <c r="J223" t="str">
        <f>TEXT(Table2[[#This Row],[Date]],"yyyy")</f>
        <v>2023</v>
      </c>
    </row>
    <row r="224" spans="1:10" x14ac:dyDescent="0.3">
      <c r="A224" s="1">
        <v>45260</v>
      </c>
      <c r="B224">
        <v>144.759995</v>
      </c>
      <c r="C224">
        <v>146.929993</v>
      </c>
      <c r="D224">
        <v>144.33000200000001</v>
      </c>
      <c r="E224">
        <v>146.08999600000001</v>
      </c>
      <c r="F224">
        <v>146.08999600000001</v>
      </c>
      <c r="G224">
        <v>65814000</v>
      </c>
      <c r="H224" t="str">
        <f>TEXT(Table2[[#This Row],[Date]],"ddd")</f>
        <v>Thu</v>
      </c>
      <c r="I224" t="str">
        <f>TEXT(Table2[[#This Row],[Date]],"mmmm")</f>
        <v>November</v>
      </c>
      <c r="J224" t="str">
        <f>TEXT(Table2[[#This Row],[Date]],"yyyy")</f>
        <v>2023</v>
      </c>
    </row>
    <row r="225" spans="1:10" x14ac:dyDescent="0.3">
      <c r="A225" s="1">
        <v>45261</v>
      </c>
      <c r="B225">
        <v>146</v>
      </c>
      <c r="C225">
        <v>147.25</v>
      </c>
      <c r="D225">
        <v>145.550003</v>
      </c>
      <c r="E225">
        <v>147.029999</v>
      </c>
      <c r="F225">
        <v>147.029999</v>
      </c>
      <c r="G225">
        <v>39924600</v>
      </c>
      <c r="H225" t="str">
        <f>TEXT(Table2[[#This Row],[Date]],"ddd")</f>
        <v>Fri</v>
      </c>
      <c r="I225" t="str">
        <f>TEXT(Table2[[#This Row],[Date]],"mmmm")</f>
        <v>December</v>
      </c>
      <c r="J225" t="str">
        <f>TEXT(Table2[[#This Row],[Date]],"yyyy")</f>
        <v>2023</v>
      </c>
    </row>
    <row r="226" spans="1:10" x14ac:dyDescent="0.3">
      <c r="A226" s="1">
        <v>45264</v>
      </c>
      <c r="B226">
        <v>145.25</v>
      </c>
      <c r="C226">
        <v>145.35000600000001</v>
      </c>
      <c r="D226">
        <v>142.80999800000001</v>
      </c>
      <c r="E226">
        <v>144.83999600000001</v>
      </c>
      <c r="F226">
        <v>144.83999600000001</v>
      </c>
      <c r="G226">
        <v>48294200</v>
      </c>
      <c r="H226" t="str">
        <f>TEXT(Table2[[#This Row],[Date]],"ddd")</f>
        <v>Mon</v>
      </c>
      <c r="I226" t="str">
        <f>TEXT(Table2[[#This Row],[Date]],"mmmm")</f>
        <v>December</v>
      </c>
      <c r="J226" t="str">
        <f>TEXT(Table2[[#This Row],[Date]],"yyyy")</f>
        <v>2023</v>
      </c>
    </row>
    <row r="227" spans="1:10" x14ac:dyDescent="0.3">
      <c r="A227" s="1">
        <v>45265</v>
      </c>
      <c r="B227">
        <v>143.550003</v>
      </c>
      <c r="C227">
        <v>148.570007</v>
      </c>
      <c r="D227">
        <v>143.13000500000001</v>
      </c>
      <c r="E227">
        <v>146.88000500000001</v>
      </c>
      <c r="F227">
        <v>146.88000500000001</v>
      </c>
      <c r="G227">
        <v>46822400</v>
      </c>
      <c r="H227" t="str">
        <f>TEXT(Table2[[#This Row],[Date]],"ddd")</f>
        <v>Tue</v>
      </c>
      <c r="I227" t="str">
        <f>TEXT(Table2[[#This Row],[Date]],"mmmm")</f>
        <v>December</v>
      </c>
      <c r="J227" t="str">
        <f>TEXT(Table2[[#This Row],[Date]],"yyyy")</f>
        <v>2023</v>
      </c>
    </row>
    <row r="228" spans="1:10" x14ac:dyDescent="0.3">
      <c r="A228" s="1">
        <v>45266</v>
      </c>
      <c r="B228">
        <v>147.58000200000001</v>
      </c>
      <c r="C228">
        <v>147.85000600000001</v>
      </c>
      <c r="D228">
        <v>144.279999</v>
      </c>
      <c r="E228">
        <v>144.520004</v>
      </c>
      <c r="F228">
        <v>144.520004</v>
      </c>
      <c r="G228">
        <v>39679000</v>
      </c>
      <c r="H228" t="str">
        <f>TEXT(Table2[[#This Row],[Date]],"ddd")</f>
        <v>Wed</v>
      </c>
      <c r="I228" t="str">
        <f>TEXT(Table2[[#This Row],[Date]],"mmmm")</f>
        <v>December</v>
      </c>
      <c r="J228" t="str">
        <f>TEXT(Table2[[#This Row],[Date]],"yyyy")</f>
        <v>2023</v>
      </c>
    </row>
    <row r="229" spans="1:10" x14ac:dyDescent="0.3">
      <c r="A229" s="1">
        <v>45267</v>
      </c>
      <c r="B229">
        <v>146.14999399999999</v>
      </c>
      <c r="C229">
        <v>147.91999799999999</v>
      </c>
      <c r="D229">
        <v>145.33999600000001</v>
      </c>
      <c r="E229">
        <v>146.88000500000001</v>
      </c>
      <c r="F229">
        <v>146.88000500000001</v>
      </c>
      <c r="G229">
        <v>52352800</v>
      </c>
      <c r="H229" t="str">
        <f>TEXT(Table2[[#This Row],[Date]],"ddd")</f>
        <v>Thu</v>
      </c>
      <c r="I229" t="str">
        <f>TEXT(Table2[[#This Row],[Date]],"mmmm")</f>
        <v>December</v>
      </c>
      <c r="J229" t="str">
        <f>TEXT(Table2[[#This Row],[Date]],"yyyy")</f>
        <v>2023</v>
      </c>
    </row>
    <row r="230" spans="1:10" x14ac:dyDescent="0.3">
      <c r="A230" s="1">
        <v>45268</v>
      </c>
      <c r="B230">
        <v>145.479996</v>
      </c>
      <c r="C230">
        <v>147.83999600000001</v>
      </c>
      <c r="D230">
        <v>145.39999399999999</v>
      </c>
      <c r="E230">
        <v>147.41999799999999</v>
      </c>
      <c r="F230">
        <v>147.41999799999999</v>
      </c>
      <c r="G230">
        <v>41858000</v>
      </c>
      <c r="H230" t="str">
        <f>TEXT(Table2[[#This Row],[Date]],"ddd")</f>
        <v>Fri</v>
      </c>
      <c r="I230" t="str">
        <f>TEXT(Table2[[#This Row],[Date]],"mmmm")</f>
        <v>December</v>
      </c>
      <c r="J230" t="str">
        <f>TEXT(Table2[[#This Row],[Date]],"yyyy")</f>
        <v>2023</v>
      </c>
    </row>
    <row r="231" spans="1:10" x14ac:dyDescent="0.3">
      <c r="A231" s="1">
        <v>45271</v>
      </c>
      <c r="B231">
        <v>145.66000399999999</v>
      </c>
      <c r="C231">
        <v>146.19000199999999</v>
      </c>
      <c r="D231">
        <v>143.63999899999999</v>
      </c>
      <c r="E231">
        <v>145.88999899999999</v>
      </c>
      <c r="F231">
        <v>145.88999899999999</v>
      </c>
      <c r="G231">
        <v>50907300</v>
      </c>
      <c r="H231" t="str">
        <f>TEXT(Table2[[#This Row],[Date]],"ddd")</f>
        <v>Mon</v>
      </c>
      <c r="I231" t="str">
        <f>TEXT(Table2[[#This Row],[Date]],"mmmm")</f>
        <v>December</v>
      </c>
      <c r="J231" t="str">
        <f>TEXT(Table2[[#This Row],[Date]],"yyyy")</f>
        <v>2023</v>
      </c>
    </row>
    <row r="232" spans="1:10" x14ac:dyDescent="0.3">
      <c r="A232" s="1">
        <v>45272</v>
      </c>
      <c r="B232">
        <v>145.520004</v>
      </c>
      <c r="C232">
        <v>147.5</v>
      </c>
      <c r="D232">
        <v>145.300003</v>
      </c>
      <c r="E232">
        <v>147.479996</v>
      </c>
      <c r="F232">
        <v>147.479996</v>
      </c>
      <c r="G232">
        <v>44944300</v>
      </c>
      <c r="H232" t="str">
        <f>TEXT(Table2[[#This Row],[Date]],"ddd")</f>
        <v>Tue</v>
      </c>
      <c r="I232" t="str">
        <f>TEXT(Table2[[#This Row],[Date]],"mmmm")</f>
        <v>December</v>
      </c>
      <c r="J232" t="str">
        <f>TEXT(Table2[[#This Row],[Date]],"yyyy")</f>
        <v>2023</v>
      </c>
    </row>
    <row r="233" spans="1:10" x14ac:dyDescent="0.3">
      <c r="A233" s="1">
        <v>45273</v>
      </c>
      <c r="B233">
        <v>148.11999499999999</v>
      </c>
      <c r="C233">
        <v>149.46000699999999</v>
      </c>
      <c r="D233">
        <v>146.820007</v>
      </c>
      <c r="E233">
        <v>148.83999600000001</v>
      </c>
      <c r="F233">
        <v>148.83999600000001</v>
      </c>
      <c r="G233">
        <v>52766200</v>
      </c>
      <c r="H233" t="str">
        <f>TEXT(Table2[[#This Row],[Date]],"ddd")</f>
        <v>Wed</v>
      </c>
      <c r="I233" t="str">
        <f>TEXT(Table2[[#This Row],[Date]],"mmmm")</f>
        <v>December</v>
      </c>
      <c r="J233" t="str">
        <f>TEXT(Table2[[#This Row],[Date]],"yyyy")</f>
        <v>2023</v>
      </c>
    </row>
    <row r="234" spans="1:10" x14ac:dyDescent="0.3">
      <c r="A234" s="1">
        <v>45274</v>
      </c>
      <c r="B234">
        <v>149.929993</v>
      </c>
      <c r="C234">
        <v>150.53999300000001</v>
      </c>
      <c r="D234">
        <v>145.520004</v>
      </c>
      <c r="E234">
        <v>147.41999799999999</v>
      </c>
      <c r="F234">
        <v>147.41999799999999</v>
      </c>
      <c r="G234">
        <v>58400800</v>
      </c>
      <c r="H234" t="str">
        <f>TEXT(Table2[[#This Row],[Date]],"ddd")</f>
        <v>Thu</v>
      </c>
      <c r="I234" t="str">
        <f>TEXT(Table2[[#This Row],[Date]],"mmmm")</f>
        <v>December</v>
      </c>
      <c r="J234" t="str">
        <f>TEXT(Table2[[#This Row],[Date]],"yyyy")</f>
        <v>2023</v>
      </c>
    </row>
    <row r="235" spans="1:10" x14ac:dyDescent="0.3">
      <c r="A235" s="1">
        <v>45275</v>
      </c>
      <c r="B235">
        <v>148.38000500000001</v>
      </c>
      <c r="C235">
        <v>150.570007</v>
      </c>
      <c r="D235">
        <v>147.88000500000001</v>
      </c>
      <c r="E235">
        <v>149.970001</v>
      </c>
      <c r="F235">
        <v>149.970001</v>
      </c>
      <c r="G235">
        <v>110039100</v>
      </c>
      <c r="H235" t="str">
        <f>TEXT(Table2[[#This Row],[Date]],"ddd")</f>
        <v>Fri</v>
      </c>
      <c r="I235" t="str">
        <f>TEXT(Table2[[#This Row],[Date]],"mmmm")</f>
        <v>December</v>
      </c>
      <c r="J235" t="str">
        <f>TEXT(Table2[[#This Row],[Date]],"yyyy")</f>
        <v>2023</v>
      </c>
    </row>
    <row r="236" spans="1:10" x14ac:dyDescent="0.3">
      <c r="A236" s="1">
        <v>45278</v>
      </c>
      <c r="B236">
        <v>150.55999800000001</v>
      </c>
      <c r="C236">
        <v>154.85000600000001</v>
      </c>
      <c r="D236">
        <v>150.050003</v>
      </c>
      <c r="E236">
        <v>154.070007</v>
      </c>
      <c r="F236">
        <v>154.070007</v>
      </c>
      <c r="G236">
        <v>62512800</v>
      </c>
      <c r="H236" t="str">
        <f>TEXT(Table2[[#This Row],[Date]],"ddd")</f>
        <v>Mon</v>
      </c>
      <c r="I236" t="str">
        <f>TEXT(Table2[[#This Row],[Date]],"mmmm")</f>
        <v>December</v>
      </c>
      <c r="J236" t="str">
        <f>TEXT(Table2[[#This Row],[Date]],"yyyy")</f>
        <v>2023</v>
      </c>
    </row>
    <row r="237" spans="1:10" x14ac:dyDescent="0.3">
      <c r="A237" s="1">
        <v>45279</v>
      </c>
      <c r="B237">
        <v>154.39999399999999</v>
      </c>
      <c r="C237">
        <v>155.11999499999999</v>
      </c>
      <c r="D237">
        <v>152.69000199999999</v>
      </c>
      <c r="E237">
        <v>153.78999300000001</v>
      </c>
      <c r="F237">
        <v>153.78999300000001</v>
      </c>
      <c r="G237">
        <v>43171300</v>
      </c>
      <c r="H237" t="str">
        <f>TEXT(Table2[[#This Row],[Date]],"ddd")</f>
        <v>Tue</v>
      </c>
      <c r="I237" t="str">
        <f>TEXT(Table2[[#This Row],[Date]],"mmmm")</f>
        <v>December</v>
      </c>
      <c r="J237" t="str">
        <f>TEXT(Table2[[#This Row],[Date]],"yyyy")</f>
        <v>2023</v>
      </c>
    </row>
    <row r="238" spans="1:10" x14ac:dyDescent="0.3">
      <c r="A238" s="1">
        <v>45280</v>
      </c>
      <c r="B238">
        <v>152.89999399999999</v>
      </c>
      <c r="C238">
        <v>155.63000500000001</v>
      </c>
      <c r="D238">
        <v>151.55999800000001</v>
      </c>
      <c r="E238">
        <v>152.11999499999999</v>
      </c>
      <c r="F238">
        <v>152.11999499999999</v>
      </c>
      <c r="G238">
        <v>50322100</v>
      </c>
      <c r="H238" t="str">
        <f>TEXT(Table2[[#This Row],[Date]],"ddd")</f>
        <v>Wed</v>
      </c>
      <c r="I238" t="str">
        <f>TEXT(Table2[[#This Row],[Date]],"mmmm")</f>
        <v>December</v>
      </c>
      <c r="J238" t="str">
        <f>TEXT(Table2[[#This Row],[Date]],"yyyy")</f>
        <v>2023</v>
      </c>
    </row>
    <row r="239" spans="1:10" x14ac:dyDescent="0.3">
      <c r="A239" s="1">
        <v>45281</v>
      </c>
      <c r="B239">
        <v>153.300003</v>
      </c>
      <c r="C239">
        <v>153.970001</v>
      </c>
      <c r="D239">
        <v>152.10000600000001</v>
      </c>
      <c r="E239">
        <v>153.83999600000001</v>
      </c>
      <c r="F239">
        <v>153.83999600000001</v>
      </c>
      <c r="G239">
        <v>36305700</v>
      </c>
      <c r="H239" t="str">
        <f>TEXT(Table2[[#This Row],[Date]],"ddd")</f>
        <v>Thu</v>
      </c>
      <c r="I239" t="str">
        <f>TEXT(Table2[[#This Row],[Date]],"mmmm")</f>
        <v>December</v>
      </c>
      <c r="J239" t="str">
        <f>TEXT(Table2[[#This Row],[Date]],"yyyy")</f>
        <v>2023</v>
      </c>
    </row>
    <row r="240" spans="1:10" x14ac:dyDescent="0.3">
      <c r="A240" s="1">
        <v>45282</v>
      </c>
      <c r="B240">
        <v>153.770004</v>
      </c>
      <c r="C240">
        <v>154.35000600000001</v>
      </c>
      <c r="D240">
        <v>152.71000699999999</v>
      </c>
      <c r="E240">
        <v>153.41999799999999</v>
      </c>
      <c r="F240">
        <v>153.41999799999999</v>
      </c>
      <c r="G240">
        <v>29480100</v>
      </c>
      <c r="H240" t="str">
        <f>TEXT(Table2[[#This Row],[Date]],"ddd")</f>
        <v>Fri</v>
      </c>
      <c r="I240" t="str">
        <f>TEXT(Table2[[#This Row],[Date]],"mmmm")</f>
        <v>December</v>
      </c>
      <c r="J240" t="str">
        <f>TEXT(Table2[[#This Row],[Date]],"yyyy")</f>
        <v>2023</v>
      </c>
    </row>
    <row r="241" spans="1:10" x14ac:dyDescent="0.3">
      <c r="A241" s="1">
        <v>45286</v>
      </c>
      <c r="B241">
        <v>153.55999800000001</v>
      </c>
      <c r="C241">
        <v>153.979996</v>
      </c>
      <c r="D241">
        <v>153.029999</v>
      </c>
      <c r="E241">
        <v>153.41000399999999</v>
      </c>
      <c r="F241">
        <v>153.41000399999999</v>
      </c>
      <c r="G241">
        <v>25067200</v>
      </c>
      <c r="H241" t="str">
        <f>TEXT(Table2[[#This Row],[Date]],"ddd")</f>
        <v>Tue</v>
      </c>
      <c r="I241" t="str">
        <f>TEXT(Table2[[#This Row],[Date]],"mmmm")</f>
        <v>December</v>
      </c>
      <c r="J241" t="str">
        <f>TEXT(Table2[[#This Row],[Date]],"yyyy")</f>
        <v>2023</v>
      </c>
    </row>
    <row r="242" spans="1:10" x14ac:dyDescent="0.3">
      <c r="A242" s="1">
        <v>45287</v>
      </c>
      <c r="B242">
        <v>153.55999800000001</v>
      </c>
      <c r="C242">
        <v>154.779999</v>
      </c>
      <c r="D242">
        <v>153.11999499999999</v>
      </c>
      <c r="E242">
        <v>153.33999600000001</v>
      </c>
      <c r="F242">
        <v>153.33999600000001</v>
      </c>
      <c r="G242">
        <v>31434700</v>
      </c>
      <c r="H242" t="str">
        <f>TEXT(Table2[[#This Row],[Date]],"ddd")</f>
        <v>Wed</v>
      </c>
      <c r="I242" t="str">
        <f>TEXT(Table2[[#This Row],[Date]],"mmmm")</f>
        <v>December</v>
      </c>
      <c r="J242" t="str">
        <f>TEXT(Table2[[#This Row],[Date]],"yyyy")</f>
        <v>2023</v>
      </c>
    </row>
    <row r="243" spans="1:10" x14ac:dyDescent="0.3">
      <c r="A243" s="1">
        <v>45288</v>
      </c>
      <c r="B243">
        <v>153.720001</v>
      </c>
      <c r="C243">
        <v>154.08000200000001</v>
      </c>
      <c r="D243">
        <v>152.949997</v>
      </c>
      <c r="E243">
        <v>153.38000500000001</v>
      </c>
      <c r="F243">
        <v>153.38000500000001</v>
      </c>
      <c r="G243">
        <v>27057000</v>
      </c>
      <c r="H243" t="str">
        <f>TEXT(Table2[[#This Row],[Date]],"ddd")</f>
        <v>Thu</v>
      </c>
      <c r="I243" t="str">
        <f>TEXT(Table2[[#This Row],[Date]],"mmmm")</f>
        <v>December</v>
      </c>
      <c r="J243" t="str">
        <f>TEXT(Table2[[#This Row],[Date]],"yyyy")</f>
        <v>2023</v>
      </c>
    </row>
    <row r="244" spans="1:10" x14ac:dyDescent="0.3">
      <c r="A244" s="1">
        <v>45289</v>
      </c>
      <c r="B244">
        <v>153.10000600000001</v>
      </c>
      <c r="C244">
        <v>153.88999899999999</v>
      </c>
      <c r="D244">
        <v>151.029999</v>
      </c>
      <c r="E244">
        <v>151.94000199999999</v>
      </c>
      <c r="F244">
        <v>151.94000199999999</v>
      </c>
      <c r="G244">
        <v>39789000</v>
      </c>
      <c r="H244" t="str">
        <f>TEXT(Table2[[#This Row],[Date]],"ddd")</f>
        <v>Fri</v>
      </c>
      <c r="I244" t="str">
        <f>TEXT(Table2[[#This Row],[Date]],"mmmm")</f>
        <v>December</v>
      </c>
      <c r="J244" t="str">
        <f>TEXT(Table2[[#This Row],[Date]],"yyyy")</f>
        <v>2023</v>
      </c>
    </row>
    <row r="245" spans="1:10" x14ac:dyDescent="0.3">
      <c r="A245" s="1">
        <v>45293</v>
      </c>
      <c r="B245">
        <v>151.53999300000001</v>
      </c>
      <c r="C245">
        <v>152.38000500000001</v>
      </c>
      <c r="D245">
        <v>148.38999899999999</v>
      </c>
      <c r="E245">
        <v>149.929993</v>
      </c>
      <c r="F245">
        <v>149.929993</v>
      </c>
      <c r="G245">
        <v>47339400</v>
      </c>
      <c r="H245" t="str">
        <f>TEXT(Table2[[#This Row],[Date]],"ddd")</f>
        <v>Tue</v>
      </c>
      <c r="I245" t="str">
        <f>TEXT(Table2[[#This Row],[Date]],"mmmm")</f>
        <v>January</v>
      </c>
      <c r="J245" t="str">
        <f>TEXT(Table2[[#This Row],[Date]],"yyyy")</f>
        <v>2024</v>
      </c>
    </row>
    <row r="246" spans="1:10" x14ac:dyDescent="0.3">
      <c r="A246" s="1">
        <v>45294</v>
      </c>
      <c r="B246">
        <v>149.199997</v>
      </c>
      <c r="C246">
        <v>151.050003</v>
      </c>
      <c r="D246">
        <v>148.33000200000001</v>
      </c>
      <c r="E246">
        <v>148.470001</v>
      </c>
      <c r="F246">
        <v>148.470001</v>
      </c>
      <c r="G246">
        <v>49425500</v>
      </c>
      <c r="H246" t="str">
        <f>TEXT(Table2[[#This Row],[Date]],"ddd")</f>
        <v>Wed</v>
      </c>
      <c r="I246" t="str">
        <f>TEXT(Table2[[#This Row],[Date]],"mmmm")</f>
        <v>January</v>
      </c>
      <c r="J246" t="str">
        <f>TEXT(Table2[[#This Row],[Date]],"yyyy")</f>
        <v>2024</v>
      </c>
    </row>
    <row r="247" spans="1:10" x14ac:dyDescent="0.3">
      <c r="A247" s="1">
        <v>45295</v>
      </c>
      <c r="B247">
        <v>145.58999600000001</v>
      </c>
      <c r="C247">
        <v>147.38000500000001</v>
      </c>
      <c r="D247">
        <v>144.050003</v>
      </c>
      <c r="E247">
        <v>144.570007</v>
      </c>
      <c r="F247">
        <v>144.570007</v>
      </c>
      <c r="G247">
        <v>56039800</v>
      </c>
      <c r="H247" t="str">
        <f>TEXT(Table2[[#This Row],[Date]],"ddd")</f>
        <v>Thu</v>
      </c>
      <c r="I247" t="str">
        <f>TEXT(Table2[[#This Row],[Date]],"mmmm")</f>
        <v>January</v>
      </c>
      <c r="J247" t="str">
        <f>TEXT(Table2[[#This Row],[Date]],"yyyy")</f>
        <v>2024</v>
      </c>
    </row>
    <row r="248" spans="1:10" x14ac:dyDescent="0.3">
      <c r="A248" s="1">
        <v>45296</v>
      </c>
      <c r="B248">
        <v>144.69000199999999</v>
      </c>
      <c r="C248">
        <v>146.58999600000001</v>
      </c>
      <c r="D248">
        <v>144.529999</v>
      </c>
      <c r="E248">
        <v>145.240005</v>
      </c>
      <c r="F248">
        <v>145.240005</v>
      </c>
      <c r="G248">
        <v>45124800</v>
      </c>
      <c r="H248" t="str">
        <f>TEXT(Table2[[#This Row],[Date]],"ddd")</f>
        <v>Fri</v>
      </c>
      <c r="I248" t="str">
        <f>TEXT(Table2[[#This Row],[Date]],"mmmm")</f>
        <v>January</v>
      </c>
      <c r="J248" t="str">
        <f>TEXT(Table2[[#This Row],[Date]],"yyyy")</f>
        <v>2024</v>
      </c>
    </row>
    <row r="249" spans="1:10" x14ac:dyDescent="0.3">
      <c r="A249" s="1">
        <v>45299</v>
      </c>
      <c r="B249">
        <v>146.740005</v>
      </c>
      <c r="C249">
        <v>149.39999399999999</v>
      </c>
      <c r="D249">
        <v>146.14999399999999</v>
      </c>
      <c r="E249">
        <v>149.10000600000001</v>
      </c>
      <c r="F249">
        <v>149.10000600000001</v>
      </c>
      <c r="G249">
        <v>46757100</v>
      </c>
      <c r="H249" t="str">
        <f>TEXT(Table2[[#This Row],[Date]],"ddd")</f>
        <v>Mon</v>
      </c>
      <c r="I249" t="str">
        <f>TEXT(Table2[[#This Row],[Date]],"mmmm")</f>
        <v>January</v>
      </c>
      <c r="J249" t="str">
        <f>TEXT(Table2[[#This Row],[Date]],"yyyy")</f>
        <v>2024</v>
      </c>
    </row>
    <row r="250" spans="1:10" x14ac:dyDescent="0.3">
      <c r="A250" s="1">
        <v>45300</v>
      </c>
      <c r="B250">
        <v>148.33000200000001</v>
      </c>
      <c r="C250">
        <v>151.71000699999999</v>
      </c>
      <c r="D250">
        <v>148.21000699999999</v>
      </c>
      <c r="E250">
        <v>151.36999499999999</v>
      </c>
      <c r="F250">
        <v>151.36999499999999</v>
      </c>
      <c r="G250">
        <v>43812600</v>
      </c>
      <c r="H250" t="str">
        <f>TEXT(Table2[[#This Row],[Date]],"ddd")</f>
        <v>Tue</v>
      </c>
      <c r="I250" t="str">
        <f>TEXT(Table2[[#This Row],[Date]],"mmmm")</f>
        <v>January</v>
      </c>
      <c r="J250" t="str">
        <f>TEXT(Table2[[#This Row],[Date]],"yyyy")</f>
        <v>2024</v>
      </c>
    </row>
    <row r="251" spans="1:10" x14ac:dyDescent="0.3">
      <c r="A251" s="1">
        <v>45301</v>
      </c>
      <c r="B251">
        <v>152.05999800000001</v>
      </c>
      <c r="C251">
        <v>154.41999799999999</v>
      </c>
      <c r="D251">
        <v>151.88000500000001</v>
      </c>
      <c r="E251">
        <v>153.729996</v>
      </c>
      <c r="F251">
        <v>153.729996</v>
      </c>
      <c r="G251">
        <v>44421800</v>
      </c>
      <c r="H251" t="str">
        <f>TEXT(Table2[[#This Row],[Date]],"ddd")</f>
        <v>Wed</v>
      </c>
      <c r="I251" t="str">
        <f>TEXT(Table2[[#This Row],[Date]],"mmmm")</f>
        <v>January</v>
      </c>
      <c r="J251" t="str">
        <f>TEXT(Table2[[#This Row],[Date]],"yyyy")</f>
        <v>2024</v>
      </c>
    </row>
    <row r="252" spans="1:10" x14ac:dyDescent="0.3">
      <c r="A252" s="1">
        <v>45302</v>
      </c>
      <c r="B252">
        <v>155.03999300000001</v>
      </c>
      <c r="C252">
        <v>157.16999799999999</v>
      </c>
      <c r="D252">
        <v>153.11999499999999</v>
      </c>
      <c r="E252">
        <v>155.179993</v>
      </c>
      <c r="F252">
        <v>155.179993</v>
      </c>
      <c r="G252">
        <v>48958800</v>
      </c>
      <c r="H252" t="str">
        <f>TEXT(Table2[[#This Row],[Date]],"ddd")</f>
        <v>Thu</v>
      </c>
      <c r="I252" t="str">
        <f>TEXT(Table2[[#This Row],[Date]],"mmmm")</f>
        <v>January</v>
      </c>
      <c r="J252" t="str">
        <f>TEXT(Table2[[#This Row],[Date]],"yyyy")</f>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E9435-DBA6-4082-B844-37E8FAB92BAB}">
  <dimension ref="T11"/>
  <sheetViews>
    <sheetView showGridLines="0" tabSelected="1" workbookViewId="0">
      <selection activeCell="U15" sqref="U15"/>
    </sheetView>
  </sheetViews>
  <sheetFormatPr defaultRowHeight="15.6" x14ac:dyDescent="0.3"/>
  <sheetData>
    <row r="11" spans="20:20" x14ac:dyDescent="0.3">
      <c r="T1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AMZN_Data</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kashyap</dc:creator>
  <cp:lastModifiedBy>utkarsh kashyap</cp:lastModifiedBy>
  <dcterms:created xsi:type="dcterms:W3CDTF">2025-12-28T18:22:04Z</dcterms:created>
  <dcterms:modified xsi:type="dcterms:W3CDTF">2025-12-28T18:22:04Z</dcterms:modified>
</cp:coreProperties>
</file>